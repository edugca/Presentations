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1bfa2ac83e16c31e/Projetos Acadêmicos/GITHUB/Presentations/CAECO 2023/Replication package/FOCUS Forecast Errors/"/>
    </mc:Choice>
  </mc:AlternateContent>
  <xr:revisionPtr revIDLastSave="78" documentId="8_{18A67F7C-553B-43F7-A5AA-FAF25C793B4F}" xr6:coauthVersionLast="47" xr6:coauthVersionMax="47" xr10:uidLastSave="{C3DCEACE-4FDC-4EDE-8D34-8E3DB6484773}"/>
  <bookViews>
    <workbookView xWindow="-28920" yWindow="-120" windowWidth="29040" windowHeight="15840" firstSheet="1" activeTab="1" xr2:uid="{C5ED0134-3313-47BB-8594-719B4A4EB895}"/>
  </bookViews>
  <sheets>
    <sheet name="Exp Annual" sheetId="1" r:id="rId1"/>
    <sheet name="SGS vs FOCUS 2" sheetId="2" r:id="rId2"/>
    <sheet name="Holidays" sheetId="3" r:id="rId3"/>
  </sheets>
  <functionGroups builtInGroupCount="19"/>
  <definedNames>
    <definedName name="_xlpm.x" hidden="1" xlm="1">#NAME?</definedName>
    <definedName name="Holidays">Holidays!$A$2:$A$937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7" i="2" l="1"/>
  <c r="I41" i="2"/>
  <c r="I45" i="2"/>
  <c r="I49" i="2"/>
  <c r="I51" i="2"/>
  <c r="I53" i="2"/>
  <c r="I57" i="2"/>
  <c r="B126" i="2"/>
  <c r="B94" i="2"/>
  <c r="B64" i="2"/>
  <c r="B33" i="2"/>
  <c r="B3" i="2"/>
  <c r="J1" i="1"/>
  <c r="G151" i="2" a="1"/>
  <c r="F151" i="2" a="1"/>
  <c r="G119" i="2" a="1"/>
  <c r="F119" i="2" a="1"/>
  <c r="G89" i="2" a="1"/>
  <c r="F89" i="2" a="1"/>
  <c r="G58" i="2" a="1"/>
  <c r="F58" i="2" a="1"/>
  <c r="G28" i="2" a="1"/>
  <c r="F28" i="2" a="1"/>
  <c r="F46" i="2" a="1"/>
  <c r="F26" i="2" a="1"/>
  <c r="G142" i="2" a="1"/>
  <c r="F18" i="2" a="1"/>
  <c r="F138" i="2" a="1"/>
  <c r="F86" i="2" a="1"/>
  <c r="F133" i="2" a="1"/>
  <c r="F135" i="2" a="1"/>
  <c r="F53" i="2" a="1"/>
  <c r="F52" i="2" a="1"/>
  <c r="G38" i="2" a="1"/>
  <c r="F148" i="2" a="1"/>
  <c r="F103" i="2" a="1"/>
  <c r="F143" i="2" a="1"/>
  <c r="F114" i="2" a="1"/>
  <c r="G47" i="2" a="1"/>
  <c r="F10" i="2" a="1"/>
  <c r="G45" i="2" a="1"/>
  <c r="G18" i="2" a="1"/>
  <c r="F69" i="2" a="1"/>
  <c r="F77" i="2" a="1"/>
  <c r="G82" i="2" a="1"/>
  <c r="G54" i="2" a="1"/>
  <c r="G141" i="2" a="1"/>
  <c r="G40" i="2" a="1"/>
  <c r="F112" i="2" a="1"/>
  <c r="F45" i="2" a="1"/>
  <c r="G100" i="2" a="1"/>
  <c r="G109" i="2" a="1"/>
  <c r="G149" i="2" a="1"/>
  <c r="G129" i="2" a="1"/>
  <c r="G9" i="2" a="1"/>
  <c r="F17" i="2" a="1"/>
  <c r="F55" i="2" a="1"/>
  <c r="F35" i="2" a="1"/>
  <c r="F132" i="2" a="1"/>
  <c r="F67" i="2" a="1"/>
  <c r="F146" i="2" a="1"/>
  <c r="F142" i="2" a="1"/>
  <c r="D4" i="1" a="1"/>
  <c r="F134" i="2" a="1"/>
  <c r="F42" i="2" a="1"/>
  <c r="G107" i="2" a="1"/>
  <c r="F100" i="2" a="1"/>
  <c r="G105" i="2" a="1"/>
  <c r="G78" i="2" a="1"/>
  <c r="G37" i="2" a="1"/>
  <c r="F109" i="2" a="1"/>
  <c r="F16" i="2" a="1"/>
  <c r="F144" i="2" a="1"/>
  <c r="G27" i="2" a="1"/>
  <c r="G145" i="2" a="1"/>
  <c r="F136" i="2" a="1"/>
  <c r="G147" i="2" a="1"/>
  <c r="G16" i="2" a="1"/>
  <c r="F48" i="2" a="1"/>
  <c r="F12" i="2" a="1"/>
  <c r="G23" i="2" a="1"/>
  <c r="G69" i="2" a="1"/>
  <c r="G41" i="2" a="1"/>
  <c r="F102" i="2" a="1"/>
  <c r="G73" i="2" a="1"/>
  <c r="F71" i="2" a="1"/>
  <c r="G148" i="2" a="1"/>
  <c r="F72" i="2" a="1"/>
  <c r="G140" i="2" a="1"/>
  <c r="G48" i="2" a="1"/>
  <c r="F54" i="2" a="1"/>
  <c r="G80" i="2" a="1"/>
  <c r="F7" i="2" a="1"/>
  <c r="F85" i="2" a="1"/>
  <c r="G21" i="2" a="1"/>
  <c r="F14" i="2" a="1"/>
  <c r="F13" i="2" a="1"/>
  <c r="G50" i="2" a="1"/>
  <c r="G56" i="2" a="1"/>
  <c r="F137" i="2" a="1"/>
  <c r="F129" i="2" a="1"/>
  <c r="G49" i="2" a="1"/>
  <c r="G136" i="2" a="1"/>
  <c r="G113" i="2" a="1"/>
  <c r="F49" i="2" a="1"/>
  <c r="G46" i="2" a="1"/>
  <c r="G85" i="2" a="1"/>
  <c r="G57" i="2" a="1"/>
  <c r="F139" i="2" a="1"/>
  <c r="G67" i="2" a="1"/>
  <c r="F76" i="2" a="1"/>
  <c r="F51" i="2" a="1"/>
  <c r="G111" i="2" a="1"/>
  <c r="F83" i="2" a="1"/>
  <c r="G77" i="2" a="1"/>
  <c r="F8" i="2" a="1"/>
  <c r="F75" i="2" a="1"/>
  <c r="F150" i="2" a="1"/>
  <c r="G72" i="2" a="1"/>
  <c r="G68" i="2" a="1"/>
  <c r="F97" i="2" a="1"/>
  <c r="G13" i="2" a="1"/>
  <c r="G98" i="2" a="1"/>
  <c r="F47" i="2" a="1"/>
  <c r="G7" i="2" a="1"/>
  <c r="G55" i="2" a="1"/>
  <c r="F6" i="2" a="1"/>
  <c r="G110" i="2" a="1"/>
  <c r="G70" i="2" a="1"/>
  <c r="G108" i="2" a="1"/>
  <c r="G81" i="2" a="1"/>
  <c r="G52" i="2" a="1"/>
  <c r="G39" i="2" a="1"/>
  <c r="G12" i="2" a="1"/>
  <c r="F57" i="2" a="1"/>
  <c r="G24" i="2" a="1"/>
  <c r="G137" i="2" a="1"/>
  <c r="G22" i="2" a="1"/>
  <c r="G5" i="2" a="1"/>
  <c r="G83" i="2" a="1"/>
  <c r="F99" i="2" a="1"/>
  <c r="F117" i="2" a="1"/>
  <c r="G86" i="2" a="1"/>
  <c r="G133" i="2" a="1"/>
  <c r="G104" i="2" a="1"/>
  <c r="F145" i="2" a="1"/>
  <c r="G10" i="2" a="1"/>
  <c r="G11" i="2" a="1"/>
  <c r="F41" i="2" a="1"/>
  <c r="G112" i="2" a="1"/>
  <c r="G6" i="2" a="1"/>
  <c r="G97" i="2" a="1"/>
  <c r="F84" i="2" a="1"/>
  <c r="G134" i="2" a="1"/>
  <c r="F21" i="2" a="1"/>
  <c r="G84" i="2" a="1"/>
  <c r="F149" i="2" a="1"/>
  <c r="F23" i="2" a="1"/>
  <c r="F82" i="2" a="1"/>
  <c r="F78" i="2" a="1"/>
  <c r="G103" i="2" a="1"/>
  <c r="F70" i="2" a="1"/>
  <c r="F108" i="2" a="1"/>
  <c r="G53" i="2" a="1"/>
  <c r="F11" i="2" a="1"/>
  <c r="F73" i="2" a="1"/>
  <c r="G106" i="2" a="1"/>
  <c r="F115" i="2" a="1"/>
  <c r="F88" i="2" a="1"/>
  <c r="F43" i="2" a="1"/>
  <c r="G150" i="2" a="1"/>
  <c r="F5" i="2" a="1"/>
  <c r="F74" i="2" a="1"/>
  <c r="F20" i="2" a="1"/>
  <c r="F105" i="2" a="1"/>
  <c r="F101" i="2" a="1"/>
  <c r="F68" i="2" a="1"/>
  <c r="F40" i="2" a="1"/>
  <c r="F79" i="2" a="1"/>
  <c r="G8" i="2" a="1"/>
  <c r="F113" i="2" a="1"/>
  <c r="G76" i="2" a="1"/>
  <c r="G114" i="2" a="1"/>
  <c r="F107" i="2" a="1"/>
  <c r="G17" i="2" a="1"/>
  <c r="G79" i="2" a="1"/>
  <c r="F22" i="2" a="1"/>
  <c r="G71" i="2" a="1"/>
  <c r="F116" i="2" a="1"/>
  <c r="G130" i="2" a="1"/>
  <c r="G101" i="2" a="1"/>
  <c r="G132" i="2" a="1"/>
  <c r="G20" i="2" a="1"/>
  <c r="G19" i="2" a="1"/>
  <c r="F9" i="2" a="1"/>
  <c r="F24" i="2" a="1"/>
  <c r="F130" i="2" a="1"/>
  <c r="F56" i="2" a="1"/>
  <c r="G143" i="2" a="1"/>
  <c r="G75" i="2" a="1"/>
  <c r="G135" i="2" a="1"/>
  <c r="F131" i="2" a="1"/>
  <c r="G144" i="2" a="1"/>
  <c r="G99" i="2" a="1"/>
  <c r="G139" i="2" a="1"/>
  <c r="F15" i="2" a="1"/>
  <c r="F87" i="2" a="1"/>
  <c r="F106" i="2" a="1"/>
  <c r="F19" i="2" a="1"/>
  <c r="G87" i="2" a="1"/>
  <c r="F27" i="2" a="1"/>
  <c r="G102" i="2" a="1"/>
  <c r="G35" i="2" a="1"/>
  <c r="F81" i="2" a="1"/>
  <c r="G131" i="2" a="1"/>
  <c r="F140" i="2" a="1"/>
  <c r="F111" i="2" a="1"/>
  <c r="G14" i="2" a="1"/>
  <c r="F37" i="2" a="1"/>
  <c r="F36" i="2" a="1"/>
  <c r="G15" i="2" a="1"/>
  <c r="G44" i="2" a="1"/>
  <c r="F80" i="2" a="1"/>
  <c r="F118" i="2" a="1"/>
  <c r="F98" i="2" a="1"/>
  <c r="G138" i="2" a="1"/>
  <c r="G115" i="2" a="1"/>
  <c r="G25" i="2" a="1"/>
  <c r="F38" i="2" a="1"/>
  <c r="F39" i="2" a="1"/>
  <c r="F50" i="2" a="1"/>
  <c r="G118" i="2" a="1"/>
  <c r="G51" i="2" a="1"/>
  <c r="F104" i="2" a="1"/>
  <c r="F44" i="2" a="1"/>
  <c r="G36" i="2" a="1"/>
  <c r="G88" i="2" a="1"/>
  <c r="G74" i="2" a="1"/>
  <c r="F141" i="2" a="1"/>
  <c r="G146" i="2" a="1"/>
  <c r="G117" i="2" a="1"/>
  <c r="G116" i="2" a="1"/>
  <c r="G43" i="2" a="1"/>
  <c r="G42" i="2" a="1"/>
  <c r="F25" i="2" a="1"/>
  <c r="F110" i="2" a="1"/>
  <c r="F147" i="2" a="1"/>
  <c r="G26" i="2" a="1"/>
  <c r="G151" i="2" l="1"/>
  <c r="F151" i="2"/>
  <c r="G119" i="2"/>
  <c r="F119" i="2"/>
  <c r="H119" i="2"/>
  <c r="G89" i="2"/>
  <c r="F89" i="2"/>
  <c r="H89" i="2"/>
  <c r="G58" i="2"/>
  <c r="F58" i="2"/>
  <c r="G28" i="2"/>
  <c r="F28" i="2"/>
  <c r="G138" i="2"/>
  <c r="F129" i="2"/>
  <c r="F87" i="2"/>
  <c r="G100" i="2"/>
  <c r="F110" i="2"/>
  <c r="G116" i="2"/>
  <c r="F135" i="2"/>
  <c r="G141" i="2"/>
  <c r="F24" i="2"/>
  <c r="G37" i="2"/>
  <c r="F132" i="2"/>
  <c r="F148" i="2"/>
  <c r="G14" i="2"/>
  <c r="F68" i="2"/>
  <c r="G74" i="2"/>
  <c r="F18" i="2"/>
  <c r="G24" i="2"/>
  <c r="F41" i="2"/>
  <c r="G47" i="2"/>
  <c r="F57" i="2"/>
  <c r="G71" i="2"/>
  <c r="F81" i="2"/>
  <c r="G87" i="2"/>
  <c r="F104" i="2"/>
  <c r="G110" i="2"/>
  <c r="H110" i="2" s="1"/>
  <c r="G135" i="2"/>
  <c r="F145" i="2"/>
  <c r="F47" i="2"/>
  <c r="G53" i="2"/>
  <c r="F107" i="2"/>
  <c r="G8" i="2"/>
  <c r="F15" i="2"/>
  <c r="G21" i="2"/>
  <c r="F38" i="2"/>
  <c r="G44" i="2"/>
  <c r="F54" i="2"/>
  <c r="G68" i="2"/>
  <c r="F78" i="2"/>
  <c r="G84" i="2"/>
  <c r="F101" i="2"/>
  <c r="G107" i="2"/>
  <c r="F117" i="2"/>
  <c r="G132" i="2"/>
  <c r="F142" i="2"/>
  <c r="G148" i="2"/>
  <c r="H148" i="2" s="1"/>
  <c r="F8" i="2"/>
  <c r="F84" i="2"/>
  <c r="G97" i="2"/>
  <c r="H97" i="2" s="1"/>
  <c r="G113" i="2"/>
  <c r="G5" i="2"/>
  <c r="F12" i="2"/>
  <c r="G18" i="2"/>
  <c r="F35" i="2"/>
  <c r="G41" i="2"/>
  <c r="F51" i="2"/>
  <c r="G57" i="2"/>
  <c r="H57" i="2" s="1"/>
  <c r="F75" i="2"/>
  <c r="G81" i="2"/>
  <c r="F98" i="2"/>
  <c r="G104" i="2"/>
  <c r="F114" i="2"/>
  <c r="G129" i="2"/>
  <c r="H129" i="2" s="1"/>
  <c r="F139" i="2"/>
  <c r="G145" i="2"/>
  <c r="F44" i="2"/>
  <c r="G50" i="2"/>
  <c r="F9" i="2"/>
  <c r="G15" i="2"/>
  <c r="F25" i="2"/>
  <c r="G38" i="2"/>
  <c r="H38" i="2" s="1"/>
  <c r="F48" i="2"/>
  <c r="G54" i="2"/>
  <c r="H54" i="2" s="1"/>
  <c r="F72" i="2"/>
  <c r="G78" i="2"/>
  <c r="F88" i="2"/>
  <c r="G101" i="2"/>
  <c r="F111" i="2"/>
  <c r="G117" i="2"/>
  <c r="F136" i="2"/>
  <c r="G142" i="2"/>
  <c r="F5" i="2"/>
  <c r="G11" i="2"/>
  <c r="F6" i="2"/>
  <c r="G12" i="2"/>
  <c r="F22" i="2"/>
  <c r="G35" i="2"/>
  <c r="F45" i="2"/>
  <c r="G51" i="2"/>
  <c r="H51" i="2" s="1"/>
  <c r="F69" i="2"/>
  <c r="G75" i="2"/>
  <c r="F85" i="2"/>
  <c r="G98" i="2"/>
  <c r="F108" i="2"/>
  <c r="G114" i="2"/>
  <c r="F133" i="2"/>
  <c r="G139" i="2"/>
  <c r="F149" i="2"/>
  <c r="G25" i="2"/>
  <c r="F42" i="2"/>
  <c r="G48" i="2"/>
  <c r="G72" i="2"/>
  <c r="F82" i="2"/>
  <c r="G88" i="2"/>
  <c r="F105" i="2"/>
  <c r="G111" i="2"/>
  <c r="F130" i="2"/>
  <c r="G136" i="2"/>
  <c r="F146" i="2"/>
  <c r="F71" i="2"/>
  <c r="G77" i="2"/>
  <c r="F19" i="2"/>
  <c r="G6" i="2"/>
  <c r="F16" i="2"/>
  <c r="G22" i="2"/>
  <c r="F39" i="2"/>
  <c r="G45" i="2"/>
  <c r="F55" i="2"/>
  <c r="G69" i="2"/>
  <c r="F79" i="2"/>
  <c r="G85" i="2"/>
  <c r="F102" i="2"/>
  <c r="G108" i="2"/>
  <c r="F118" i="2"/>
  <c r="G133" i="2"/>
  <c r="F143" i="2"/>
  <c r="G149" i="2"/>
  <c r="F21" i="2"/>
  <c r="G27" i="2"/>
  <c r="G9" i="2"/>
  <c r="F13" i="2"/>
  <c r="G19" i="2"/>
  <c r="F36" i="2"/>
  <c r="G42" i="2"/>
  <c r="F52" i="2"/>
  <c r="F76" i="2"/>
  <c r="G82" i="2"/>
  <c r="H82" i="2" s="1"/>
  <c r="F99" i="2"/>
  <c r="G105" i="2"/>
  <c r="F115" i="2"/>
  <c r="G130" i="2"/>
  <c r="F140" i="2"/>
  <c r="G146" i="2"/>
  <c r="G16" i="2"/>
  <c r="F26" i="2"/>
  <c r="G39" i="2"/>
  <c r="H39" i="2" s="1"/>
  <c r="F49" i="2"/>
  <c r="G55" i="2"/>
  <c r="F73" i="2"/>
  <c r="G79" i="2"/>
  <c r="G102" i="2"/>
  <c r="F112" i="2"/>
  <c r="G118" i="2"/>
  <c r="F137" i="2"/>
  <c r="G143" i="2"/>
  <c r="F7" i="2"/>
  <c r="G13" i="2"/>
  <c r="F70" i="2"/>
  <c r="G76" i="2"/>
  <c r="F86" i="2"/>
  <c r="G99" i="2"/>
  <c r="F109" i="2"/>
  <c r="G115" i="2"/>
  <c r="F134" i="2"/>
  <c r="G140" i="2"/>
  <c r="F150" i="2"/>
  <c r="F23" i="2"/>
  <c r="G36" i="2"/>
  <c r="F20" i="2"/>
  <c r="G26" i="2"/>
  <c r="H26" i="2" s="1"/>
  <c r="F43" i="2"/>
  <c r="G49" i="2"/>
  <c r="F67" i="2"/>
  <c r="G73" i="2"/>
  <c r="F83" i="2"/>
  <c r="F106" i="2"/>
  <c r="G112" i="2"/>
  <c r="F131" i="2"/>
  <c r="G137" i="2"/>
  <c r="F147" i="2"/>
  <c r="F10" i="2"/>
  <c r="F17" i="2"/>
  <c r="G23" i="2"/>
  <c r="F40" i="2"/>
  <c r="G46" i="2"/>
  <c r="F56" i="2"/>
  <c r="G70" i="2"/>
  <c r="F80" i="2"/>
  <c r="G86" i="2"/>
  <c r="F103" i="2"/>
  <c r="G109" i="2"/>
  <c r="G134" i="2"/>
  <c r="F144" i="2"/>
  <c r="G150" i="2"/>
  <c r="F14" i="2"/>
  <c r="G20" i="2"/>
  <c r="F37" i="2"/>
  <c r="G43" i="2"/>
  <c r="F53" i="2"/>
  <c r="G67" i="2"/>
  <c r="F77" i="2"/>
  <c r="G83" i="2"/>
  <c r="H83" i="2" s="1"/>
  <c r="F100" i="2"/>
  <c r="G106" i="2"/>
  <c r="F116" i="2"/>
  <c r="G131" i="2"/>
  <c r="F141" i="2"/>
  <c r="G147" i="2"/>
  <c r="F46" i="2"/>
  <c r="G52" i="2"/>
  <c r="G10" i="2"/>
  <c r="G7" i="2"/>
  <c r="F11" i="2"/>
  <c r="G17" i="2"/>
  <c r="H17" i="2" s="1"/>
  <c r="F27" i="2"/>
  <c r="G40" i="2"/>
  <c r="H40" i="2" s="1"/>
  <c r="F50" i="2"/>
  <c r="G56" i="2"/>
  <c r="H56" i="2" s="1"/>
  <c r="F74" i="2"/>
  <c r="G80" i="2"/>
  <c r="F97" i="2"/>
  <c r="G103" i="2"/>
  <c r="H103" i="2" s="1"/>
  <c r="F113" i="2"/>
  <c r="F138" i="2"/>
  <c r="G144" i="2"/>
  <c r="D4" i="1"/>
  <c r="H151" i="2" l="1"/>
  <c r="H58" i="2"/>
  <c r="H87" i="2"/>
  <c r="H42" i="2"/>
  <c r="H24" i="2"/>
  <c r="H28" i="2"/>
  <c r="H13" i="2"/>
  <c r="H130" i="2"/>
  <c r="H45" i="2"/>
  <c r="H98" i="2"/>
  <c r="H12" i="2"/>
  <c r="H78" i="2"/>
  <c r="H81" i="2"/>
  <c r="H105" i="2"/>
  <c r="H16" i="2"/>
  <c r="H104" i="2"/>
  <c r="H106" i="2"/>
  <c r="H49" i="2"/>
  <c r="H55" i="2"/>
  <c r="H44" i="2"/>
  <c r="H70" i="2"/>
  <c r="H75" i="2"/>
  <c r="H37" i="2"/>
  <c r="H132" i="2"/>
  <c r="H23" i="2"/>
  <c r="H85" i="2"/>
  <c r="H88" i="2"/>
  <c r="H43" i="2"/>
  <c r="H69" i="2"/>
  <c r="H7" i="2"/>
  <c r="H20" i="2"/>
  <c r="H72" i="2"/>
  <c r="H68" i="2"/>
  <c r="H48" i="2"/>
  <c r="H52" i="2"/>
  <c r="H115" i="2"/>
  <c r="H145" i="2"/>
  <c r="H146" i="2"/>
  <c r="H8" i="2"/>
  <c r="H142" i="2"/>
  <c r="H86" i="2"/>
  <c r="H73" i="2"/>
  <c r="H149" i="2"/>
  <c r="H77" i="2"/>
  <c r="H114" i="2"/>
  <c r="H117" i="2"/>
  <c r="H138" i="2"/>
  <c r="H80" i="2"/>
  <c r="H139" i="2"/>
  <c r="H133" i="2"/>
  <c r="H74" i="2"/>
  <c r="H143" i="2"/>
  <c r="H67" i="2"/>
  <c r="H136" i="2"/>
  <c r="H101" i="2"/>
  <c r="H53" i="2"/>
  <c r="H46" i="2"/>
  <c r="H118" i="2"/>
  <c r="H108" i="2"/>
  <c r="H14" i="2"/>
  <c r="H111" i="2"/>
  <c r="H36" i="2"/>
  <c r="H102" i="2"/>
  <c r="H107" i="2"/>
  <c r="H135" i="2"/>
  <c r="H10" i="2"/>
  <c r="H140" i="2"/>
  <c r="H79" i="2"/>
  <c r="H84" i="2"/>
  <c r="H144" i="2"/>
  <c r="H150" i="2"/>
  <c r="H137" i="2"/>
  <c r="H35" i="2"/>
  <c r="H41" i="2"/>
  <c r="H141" i="2"/>
  <c r="H112" i="2"/>
  <c r="H19" i="2"/>
  <c r="H15" i="2"/>
  <c r="H18" i="2"/>
  <c r="H116" i="2"/>
  <c r="H22" i="2"/>
  <c r="H71" i="2"/>
  <c r="H131" i="2"/>
  <c r="H109" i="2"/>
  <c r="H9" i="2"/>
  <c r="H25" i="2"/>
  <c r="H11" i="2"/>
  <c r="H50" i="2"/>
  <c r="H5" i="2"/>
  <c r="H100" i="2"/>
  <c r="H147" i="2"/>
  <c r="H134" i="2"/>
  <c r="H99" i="2"/>
  <c r="H76" i="2"/>
  <c r="H27" i="2"/>
  <c r="H6" i="2"/>
  <c r="H113" i="2"/>
  <c r="H21" i="2"/>
  <c r="H47" i="2"/>
  <c r="I28" i="2" l="1"/>
  <c r="I6" i="2"/>
  <c r="I14" i="2"/>
  <c r="I22" i="2"/>
  <c r="I7" i="2"/>
  <c r="I15" i="2"/>
  <c r="I23" i="2"/>
  <c r="I8" i="2"/>
  <c r="I16" i="2"/>
  <c r="I24" i="2"/>
  <c r="I9" i="2"/>
  <c r="I17" i="2"/>
  <c r="I25" i="2"/>
  <c r="I10" i="2"/>
  <c r="I18" i="2"/>
  <c r="I26" i="2"/>
  <c r="I11" i="2"/>
  <c r="I19" i="2"/>
  <c r="I27" i="2"/>
  <c r="I12" i="2"/>
  <c r="I20" i="2"/>
  <c r="I5" i="2"/>
  <c r="I13" i="2"/>
  <c r="I2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<sst xmlns="http://schemas.openxmlformats.org/spreadsheetml/2006/main" count="1940" uniqueCount="54">
  <si>
    <t>Forecast of Annual Indicators (Expectativas Anuais)</t>
  </si>
  <si>
    <t>Graph title</t>
  </si>
  <si>
    <t>Indicador (Indicator)</t>
  </si>
  <si>
    <t>IPCA</t>
  </si>
  <si>
    <t>Data</t>
  </si>
  <si>
    <t>Minimo</t>
  </si>
  <si>
    <t>Mediana</t>
  </si>
  <si>
    <t>Maximo</t>
  </si>
  <si>
    <t>Indicador Detalhe (Indicator Detail)</t>
  </si>
  <si>
    <t>Data de Referência (Date of Reference)</t>
  </si>
  <si>
    <t>Data Inicial (Start Date)</t>
  </si>
  <si>
    <t>Data Final (Final Date)</t>
  </si>
  <si>
    <t>Base de Cálculo (Calculus Basis)</t>
  </si>
  <si>
    <t>SGS vs. Focus Indicators 2</t>
  </si>
  <si>
    <t>IPCA proj.</t>
  </si>
  <si>
    <t>IPCA real.</t>
  </si>
  <si>
    <t>Dif.</t>
  </si>
  <si>
    <t>Metadados</t>
  </si>
  <si>
    <t>N Últimas Observações</t>
  </si>
  <si>
    <t>Retornar Datas</t>
  </si>
  <si>
    <t>PIB proj.</t>
  </si>
  <si>
    <t>PIB real.</t>
  </si>
  <si>
    <t>PIB Ind proj.</t>
  </si>
  <si>
    <t>PIB Ind real.</t>
  </si>
  <si>
    <t>PIB Serv proj.</t>
  </si>
  <si>
    <t>PIB Serv real.</t>
  </si>
  <si>
    <t>PIB Agro proj.</t>
  </si>
  <si>
    <t>PIB Agro real.</t>
  </si>
  <si>
    <t>Dif. Média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</si>
  <si>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</si>
  <si>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</si>
  <si>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</si>
  <si>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</si>
  <si>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</si>
  <si>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</si>
  <si>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</si>
  <si>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</si>
  <si>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</si>
  <si>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</si>
  <si>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</si>
  <si>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</si>
  <si>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</si>
  <si>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</si>
  <si>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r>
      <t>Nossa Sr.</t>
    </r>
    <r>
      <rPr>
        <vertAlign val="superscript"/>
        <sz val="9"/>
        <color indexed="8"/>
        <rFont val="Arial"/>
        <family val="2"/>
      </rPr>
      <t>a</t>
    </r>
    <r>
      <rPr>
        <sz val="9"/>
        <color indexed="8"/>
        <rFont val="Arial"/>
        <family val="2"/>
      </rPr>
      <t xml:space="preserve"> Aparecida - Padroeira do Brasil</t>
    </r>
  </si>
  <si>
    <t>Finados</t>
  </si>
  <si>
    <t>Proclamação da República</t>
  </si>
  <si>
    <t>Natal</t>
  </si>
  <si>
    <t>domingo</t>
  </si>
  <si>
    <t>quarta-feira</t>
  </si>
  <si>
    <t>Fonte: ANBIMA</t>
  </si>
  <si>
    <t>1) De acordo com a Resolução n º 2.516, a partir do ano 2000, a quinta-feira da Semana Santa foi considerada dia útil. Esta mesma Resolução dispensou as instituições financeiras do cumprimento do horário mínimo de funcionamento, desde que informem ao público.</t>
  </si>
  <si>
    <t>2) A lei nº 9.504/97 estabeleceu que, em ano eleitoral, o 1º turno das eleições será realizado no primeiro domingo de outubro; e o 2º turno, quando houver, no último domingo do referido mês.</t>
  </si>
  <si>
    <t>3) De acordo com a Resolução nº 2.596/99, no último dia útil do ano não haverá atendimento ao público.</t>
  </si>
  <si>
    <t>4) Esta listagem não inclui os feriados municipais, eleições e o último dia do ano. O critério adotado foi o de indicar os feriados em que não há sensibilização das Reservas Bancárias.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</si>
</sst>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9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sz val="10"/>
      <color rgb="FF3F3F76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vertAlign val="superscript"/>
      <sz val="9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/>
      <bottom style="medium">
        <color indexed="23"/>
      </bottom>
      <diagonal/>
    </border>
    <border>
      <left/>
      <right style="medium">
        <color indexed="23"/>
      </right>
      <top/>
      <bottom style="medium">
        <color indexed="23"/>
      </bottom>
      <diagonal/>
    </border>
    <border>
      <left/>
      <right style="medium">
        <color indexed="55"/>
      </right>
      <top/>
      <bottom style="medium">
        <color indexed="23"/>
      </bottom>
      <diagonal/>
    </border>
  </borders>
  <cellStyleXfs count="4">
    <xf numFmtId="0" fontId="0" fillId="0" borderId="0"/>
    <xf numFmtId="0" fontId="1" fillId="0" borderId="0"/>
    <xf numFmtId="0" fontId="4" fillId="2" borderId="1" applyNumberFormat="0" applyAlignment="0" applyProtection="0"/>
    <xf numFmtId="0" fontId="5" fillId="0" borderId="0"/>
  </cellStyleXfs>
  <cellXfs count="33">
    <xf numFmtId="0" fontId="0" fillId="0" borderId="0" xfId="0"/>
    <xf numFmtId="0" fontId="2" fillId="0" borderId="0" xfId="1" applyFont="1"/>
    <xf numFmtId="0" fontId="1" fillId="0" borderId="0" xfId="1"/>
    <xf numFmtId="0" fontId="3" fillId="0" borderId="0" xfId="1" applyFont="1"/>
    <xf numFmtId="0" fontId="4" fillId="2" borderId="1" xfId="2"/>
    <xf numFmtId="14" fontId="1" fillId="0" borderId="0" xfId="1" applyNumberFormat="1"/>
    <xf numFmtId="14" fontId="4" fillId="2" borderId="1" xfId="2" applyNumberFormat="1"/>
    <xf numFmtId="2" fontId="1" fillId="3" borderId="0" xfId="1" applyNumberFormat="1" applyFill="1"/>
    <xf numFmtId="0" fontId="1" fillId="3" borderId="0" xfId="1" applyFill="1"/>
    <xf numFmtId="2" fontId="1" fillId="0" borderId="0" xfId="1" applyNumberFormat="1"/>
    <xf numFmtId="164" fontId="1" fillId="0" borderId="0" xfId="1" applyNumberFormat="1"/>
    <xf numFmtId="0" fontId="4" fillId="4" borderId="1" xfId="2" applyFill="1"/>
    <xf numFmtId="0" fontId="6" fillId="5" borderId="3" xfId="3" applyFont="1" applyFill="1" applyBorder="1" applyAlignment="1">
      <alignment horizontal="left" wrapText="1"/>
    </xf>
    <xf numFmtId="0" fontId="6" fillId="5" borderId="4" xfId="3" applyFont="1" applyFill="1" applyBorder="1" applyAlignment="1">
      <alignment horizontal="left" wrapText="1"/>
    </xf>
    <xf numFmtId="0" fontId="6" fillId="5" borderId="5" xfId="3" applyFont="1" applyFill="1" applyBorder="1" applyAlignment="1">
      <alignment horizontal="left" wrapText="1"/>
    </xf>
    <xf numFmtId="0" fontId="5" fillId="0" borderId="0" xfId="3"/>
    <xf numFmtId="14" fontId="7" fillId="6" borderId="6" xfId="3" applyNumberFormat="1" applyFont="1" applyFill="1" applyBorder="1" applyAlignment="1">
      <alignment horizontal="left" wrapText="1"/>
    </xf>
    <xf numFmtId="0" fontId="7" fillId="6" borderId="7" xfId="3" applyFont="1" applyFill="1" applyBorder="1" applyAlignment="1">
      <alignment horizontal="left" wrapText="1"/>
    </xf>
    <xf numFmtId="0" fontId="7" fillId="6" borderId="8" xfId="3" applyFont="1" applyFill="1" applyBorder="1" applyAlignment="1">
      <alignment horizontal="left" wrapText="1"/>
    </xf>
    <xf numFmtId="14" fontId="7" fillId="7" borderId="3" xfId="3" applyNumberFormat="1" applyFont="1" applyFill="1" applyBorder="1" applyAlignment="1">
      <alignment horizontal="left" wrapText="1"/>
    </xf>
    <xf numFmtId="0" fontId="7" fillId="7" borderId="4" xfId="3" applyFont="1" applyFill="1" applyBorder="1" applyAlignment="1">
      <alignment horizontal="left" wrapText="1"/>
    </xf>
    <xf numFmtId="0" fontId="7" fillId="7" borderId="5" xfId="3" applyFont="1" applyFill="1" applyBorder="1" applyAlignment="1">
      <alignment horizontal="left" wrapText="1"/>
    </xf>
    <xf numFmtId="14" fontId="7" fillId="7" borderId="6" xfId="3" applyNumberFormat="1" applyFont="1" applyFill="1" applyBorder="1" applyAlignment="1">
      <alignment horizontal="left" wrapText="1"/>
    </xf>
    <xf numFmtId="0" fontId="7" fillId="7" borderId="7" xfId="3" applyFont="1" applyFill="1" applyBorder="1" applyAlignment="1">
      <alignment horizontal="left" wrapText="1"/>
    </xf>
    <xf numFmtId="0" fontId="7" fillId="7" borderId="8" xfId="3" applyFont="1" applyFill="1" applyBorder="1" applyAlignment="1">
      <alignment horizontal="left" wrapText="1"/>
    </xf>
    <xf numFmtId="14" fontId="7" fillId="6" borderId="3" xfId="3" applyNumberFormat="1" applyFont="1" applyFill="1" applyBorder="1" applyAlignment="1">
      <alignment horizontal="left" wrapText="1"/>
    </xf>
    <xf numFmtId="0" fontId="7" fillId="6" borderId="4" xfId="3" applyFont="1" applyFill="1" applyBorder="1" applyAlignment="1">
      <alignment horizontal="left" wrapText="1"/>
    </xf>
    <xf numFmtId="0" fontId="7" fillId="6" borderId="5" xfId="3" applyFont="1" applyFill="1" applyBorder="1" applyAlignment="1">
      <alignment horizontal="left" wrapText="1"/>
    </xf>
    <xf numFmtId="0" fontId="6" fillId="0" borderId="0" xfId="3" applyFont="1"/>
    <xf numFmtId="0" fontId="7" fillId="0" borderId="0" xfId="3" applyFont="1" applyAlignment="1">
      <alignment horizontal="left"/>
    </xf>
    <xf numFmtId="164" fontId="1" fillId="3" borderId="0" xfId="1" applyNumberFormat="1" applyFill="1"/>
    <xf numFmtId="0" fontId="4" fillId="2" borderId="2" xfId="2" applyBorder="1" applyAlignment="1">
      <alignment horizontal="left"/>
    </xf>
    <xf numFmtId="0" fontId="4" fillId="2" borderId="0" xfId="2" applyBorder="1" applyAlignment="1">
      <alignment horizontal="left"/>
    </xf>
  </cellXfs>
  <cellStyles count="4">
    <cellStyle name="Entrada 2" xfId="2" xr:uid="{95A3DDE9-C871-41D7-8FCC-8AC97B95C722}"/>
    <cellStyle name="Normal" xfId="0" builtinId="0"/>
    <cellStyle name="Normal 2" xfId="1" xr:uid="{213FDCEA-5DAC-48B0-8370-BD458389FB42}"/>
    <cellStyle name="Normal 3" xfId="3" xr:uid="{9A62E3A7-E31E-41E7-863C-14E7812BA72D}"/>
  </cellStyles>
  <dxfs count="0"/>
  <tableStyles count="1" defaultTableStyle="TableStyleMedium2" defaultPivotStyle="PivotStyleLight16">
    <tableStyle name="Invisible" pivot="0" table="0" count="0" xr9:uid="{8C2DEE90-01D9-4F55-90F3-4C0B3EAF101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Annual'!$J$1:$P$1</c:f>
          <c:strCache>
            <c:ptCount val="7"/>
            <c:pt idx="0">
              <c:v>FOCUS forecast for IPCA of 2023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 Annual'!$E$3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'Exp Annual'!$D$4:$D$461</c:f>
              <c:numCache>
                <c:formatCode>m/d/yyyy</c:formatCode>
                <c:ptCount val="458"/>
                <c:pt idx="0">
                  <c:v>44564</c:v>
                </c:pt>
                <c:pt idx="1">
                  <c:v>44565</c:v>
                </c:pt>
                <c:pt idx="2">
                  <c:v>44566</c:v>
                </c:pt>
                <c:pt idx="3">
                  <c:v>44567</c:v>
                </c:pt>
                <c:pt idx="4">
                  <c:v>44568</c:v>
                </c:pt>
                <c:pt idx="5">
                  <c:v>44571</c:v>
                </c:pt>
                <c:pt idx="6">
                  <c:v>44572</c:v>
                </c:pt>
                <c:pt idx="7">
                  <c:v>44573</c:v>
                </c:pt>
                <c:pt idx="8">
                  <c:v>44574</c:v>
                </c:pt>
                <c:pt idx="9">
                  <c:v>44575</c:v>
                </c:pt>
                <c:pt idx="10">
                  <c:v>44578</c:v>
                </c:pt>
                <c:pt idx="11">
                  <c:v>44579</c:v>
                </c:pt>
                <c:pt idx="12">
                  <c:v>44580</c:v>
                </c:pt>
                <c:pt idx="13">
                  <c:v>44581</c:v>
                </c:pt>
                <c:pt idx="14">
                  <c:v>44582</c:v>
                </c:pt>
                <c:pt idx="15">
                  <c:v>44585</c:v>
                </c:pt>
                <c:pt idx="16">
                  <c:v>44586</c:v>
                </c:pt>
                <c:pt idx="17">
                  <c:v>44587</c:v>
                </c:pt>
                <c:pt idx="18">
                  <c:v>44588</c:v>
                </c:pt>
                <c:pt idx="19">
                  <c:v>44589</c:v>
                </c:pt>
                <c:pt idx="20">
                  <c:v>44592</c:v>
                </c:pt>
                <c:pt idx="21">
                  <c:v>44593</c:v>
                </c:pt>
                <c:pt idx="22">
                  <c:v>44594</c:v>
                </c:pt>
                <c:pt idx="23">
                  <c:v>44595</c:v>
                </c:pt>
                <c:pt idx="24">
                  <c:v>44596</c:v>
                </c:pt>
                <c:pt idx="25">
                  <c:v>44599</c:v>
                </c:pt>
                <c:pt idx="26">
                  <c:v>44600</c:v>
                </c:pt>
                <c:pt idx="27">
                  <c:v>44601</c:v>
                </c:pt>
                <c:pt idx="28">
                  <c:v>44602</c:v>
                </c:pt>
                <c:pt idx="29">
                  <c:v>44603</c:v>
                </c:pt>
                <c:pt idx="30">
                  <c:v>44606</c:v>
                </c:pt>
                <c:pt idx="31">
                  <c:v>44607</c:v>
                </c:pt>
                <c:pt idx="32">
                  <c:v>44608</c:v>
                </c:pt>
                <c:pt idx="33">
                  <c:v>44609</c:v>
                </c:pt>
                <c:pt idx="34">
                  <c:v>44610</c:v>
                </c:pt>
                <c:pt idx="35">
                  <c:v>44613</c:v>
                </c:pt>
                <c:pt idx="36">
                  <c:v>44614</c:v>
                </c:pt>
                <c:pt idx="37">
                  <c:v>44615</c:v>
                </c:pt>
                <c:pt idx="38">
                  <c:v>44616</c:v>
                </c:pt>
                <c:pt idx="39">
                  <c:v>44617</c:v>
                </c:pt>
                <c:pt idx="40">
                  <c:v>44622</c:v>
                </c:pt>
                <c:pt idx="41">
                  <c:v>44623</c:v>
                </c:pt>
                <c:pt idx="42">
                  <c:v>44624</c:v>
                </c:pt>
                <c:pt idx="43">
                  <c:v>44627</c:v>
                </c:pt>
                <c:pt idx="44">
                  <c:v>44628</c:v>
                </c:pt>
                <c:pt idx="45">
                  <c:v>44629</c:v>
                </c:pt>
                <c:pt idx="46">
                  <c:v>44630</c:v>
                </c:pt>
                <c:pt idx="47">
                  <c:v>44631</c:v>
                </c:pt>
                <c:pt idx="48">
                  <c:v>44634</c:v>
                </c:pt>
                <c:pt idx="49">
                  <c:v>44635</c:v>
                </c:pt>
                <c:pt idx="50">
                  <c:v>44636</c:v>
                </c:pt>
                <c:pt idx="51">
                  <c:v>44637</c:v>
                </c:pt>
                <c:pt idx="52">
                  <c:v>44638</c:v>
                </c:pt>
                <c:pt idx="53">
                  <c:v>44641</c:v>
                </c:pt>
                <c:pt idx="54">
                  <c:v>44642</c:v>
                </c:pt>
                <c:pt idx="55">
                  <c:v>44643</c:v>
                </c:pt>
                <c:pt idx="56">
                  <c:v>44644</c:v>
                </c:pt>
                <c:pt idx="57">
                  <c:v>44645</c:v>
                </c:pt>
                <c:pt idx="58">
                  <c:v>44648</c:v>
                </c:pt>
                <c:pt idx="59">
                  <c:v>44649</c:v>
                </c:pt>
                <c:pt idx="60">
                  <c:v>44650</c:v>
                </c:pt>
                <c:pt idx="61">
                  <c:v>44651</c:v>
                </c:pt>
                <c:pt idx="62">
                  <c:v>44652</c:v>
                </c:pt>
                <c:pt idx="63">
                  <c:v>44655</c:v>
                </c:pt>
                <c:pt idx="64">
                  <c:v>44656</c:v>
                </c:pt>
                <c:pt idx="65">
                  <c:v>44657</c:v>
                </c:pt>
                <c:pt idx="66">
                  <c:v>44658</c:v>
                </c:pt>
                <c:pt idx="67">
                  <c:v>44659</c:v>
                </c:pt>
                <c:pt idx="68">
                  <c:v>44662</c:v>
                </c:pt>
                <c:pt idx="69">
                  <c:v>44663</c:v>
                </c:pt>
                <c:pt idx="70">
                  <c:v>44664</c:v>
                </c:pt>
                <c:pt idx="71">
                  <c:v>44665</c:v>
                </c:pt>
                <c:pt idx="72">
                  <c:v>44669</c:v>
                </c:pt>
                <c:pt idx="73">
                  <c:v>44670</c:v>
                </c:pt>
                <c:pt idx="74">
                  <c:v>44671</c:v>
                </c:pt>
                <c:pt idx="75">
                  <c:v>44673</c:v>
                </c:pt>
                <c:pt idx="76">
                  <c:v>44676</c:v>
                </c:pt>
                <c:pt idx="77">
                  <c:v>44677</c:v>
                </c:pt>
                <c:pt idx="78">
                  <c:v>44678</c:v>
                </c:pt>
                <c:pt idx="79">
                  <c:v>44679</c:v>
                </c:pt>
                <c:pt idx="80">
                  <c:v>44680</c:v>
                </c:pt>
                <c:pt idx="81">
                  <c:v>44683</c:v>
                </c:pt>
                <c:pt idx="82">
                  <c:v>44684</c:v>
                </c:pt>
                <c:pt idx="83">
                  <c:v>44685</c:v>
                </c:pt>
                <c:pt idx="84">
                  <c:v>44686</c:v>
                </c:pt>
                <c:pt idx="85">
                  <c:v>44687</c:v>
                </c:pt>
                <c:pt idx="86">
                  <c:v>44690</c:v>
                </c:pt>
                <c:pt idx="87">
                  <c:v>44691</c:v>
                </c:pt>
                <c:pt idx="88">
                  <c:v>44692</c:v>
                </c:pt>
                <c:pt idx="89">
                  <c:v>44693</c:v>
                </c:pt>
                <c:pt idx="90">
                  <c:v>44694</c:v>
                </c:pt>
                <c:pt idx="91">
                  <c:v>44697</c:v>
                </c:pt>
                <c:pt idx="92">
                  <c:v>44698</c:v>
                </c:pt>
                <c:pt idx="93">
                  <c:v>44699</c:v>
                </c:pt>
                <c:pt idx="94">
                  <c:v>44700</c:v>
                </c:pt>
                <c:pt idx="95">
                  <c:v>44701</c:v>
                </c:pt>
                <c:pt idx="96">
                  <c:v>44704</c:v>
                </c:pt>
                <c:pt idx="97">
                  <c:v>44705</c:v>
                </c:pt>
                <c:pt idx="98">
                  <c:v>44706</c:v>
                </c:pt>
                <c:pt idx="99">
                  <c:v>44707</c:v>
                </c:pt>
                <c:pt idx="100">
                  <c:v>44708</c:v>
                </c:pt>
                <c:pt idx="101">
                  <c:v>44711</c:v>
                </c:pt>
                <c:pt idx="102">
                  <c:v>44712</c:v>
                </c:pt>
                <c:pt idx="103">
                  <c:v>44713</c:v>
                </c:pt>
                <c:pt idx="104">
                  <c:v>44714</c:v>
                </c:pt>
                <c:pt idx="105">
                  <c:v>44715</c:v>
                </c:pt>
                <c:pt idx="106">
                  <c:v>44718</c:v>
                </c:pt>
                <c:pt idx="107">
                  <c:v>44719</c:v>
                </c:pt>
                <c:pt idx="108">
                  <c:v>44720</c:v>
                </c:pt>
                <c:pt idx="109">
                  <c:v>44721</c:v>
                </c:pt>
                <c:pt idx="110">
                  <c:v>44722</c:v>
                </c:pt>
                <c:pt idx="111">
                  <c:v>44725</c:v>
                </c:pt>
                <c:pt idx="112">
                  <c:v>44726</c:v>
                </c:pt>
                <c:pt idx="113">
                  <c:v>44727</c:v>
                </c:pt>
                <c:pt idx="114">
                  <c:v>44729</c:v>
                </c:pt>
                <c:pt idx="115">
                  <c:v>44732</c:v>
                </c:pt>
                <c:pt idx="116">
                  <c:v>44733</c:v>
                </c:pt>
                <c:pt idx="117">
                  <c:v>44734</c:v>
                </c:pt>
                <c:pt idx="118">
                  <c:v>44735</c:v>
                </c:pt>
                <c:pt idx="119">
                  <c:v>44736</c:v>
                </c:pt>
                <c:pt idx="120">
                  <c:v>44739</c:v>
                </c:pt>
                <c:pt idx="121">
                  <c:v>44740</c:v>
                </c:pt>
                <c:pt idx="122">
                  <c:v>44741</c:v>
                </c:pt>
                <c:pt idx="123">
                  <c:v>44742</c:v>
                </c:pt>
                <c:pt idx="124">
                  <c:v>44743</c:v>
                </c:pt>
                <c:pt idx="125">
                  <c:v>44746</c:v>
                </c:pt>
                <c:pt idx="126">
                  <c:v>44747</c:v>
                </c:pt>
                <c:pt idx="127">
                  <c:v>44748</c:v>
                </c:pt>
                <c:pt idx="128">
                  <c:v>44749</c:v>
                </c:pt>
                <c:pt idx="129">
                  <c:v>44750</c:v>
                </c:pt>
                <c:pt idx="130">
                  <c:v>44753</c:v>
                </c:pt>
                <c:pt idx="131">
                  <c:v>44754</c:v>
                </c:pt>
                <c:pt idx="132">
                  <c:v>44755</c:v>
                </c:pt>
                <c:pt idx="133">
                  <c:v>44756</c:v>
                </c:pt>
                <c:pt idx="134">
                  <c:v>44757</c:v>
                </c:pt>
                <c:pt idx="135">
                  <c:v>44760</c:v>
                </c:pt>
                <c:pt idx="136">
                  <c:v>44761</c:v>
                </c:pt>
                <c:pt idx="137">
                  <c:v>44762</c:v>
                </c:pt>
                <c:pt idx="138">
                  <c:v>44763</c:v>
                </c:pt>
                <c:pt idx="139">
                  <c:v>44764</c:v>
                </c:pt>
                <c:pt idx="140">
                  <c:v>44767</c:v>
                </c:pt>
                <c:pt idx="141">
                  <c:v>44768</c:v>
                </c:pt>
                <c:pt idx="142">
                  <c:v>44769</c:v>
                </c:pt>
                <c:pt idx="143">
                  <c:v>44770</c:v>
                </c:pt>
                <c:pt idx="144">
                  <c:v>44771</c:v>
                </c:pt>
                <c:pt idx="145">
                  <c:v>44774</c:v>
                </c:pt>
                <c:pt idx="146">
                  <c:v>44775</c:v>
                </c:pt>
                <c:pt idx="147">
                  <c:v>44776</c:v>
                </c:pt>
                <c:pt idx="148">
                  <c:v>44777</c:v>
                </c:pt>
                <c:pt idx="149">
                  <c:v>44778</c:v>
                </c:pt>
                <c:pt idx="150">
                  <c:v>44781</c:v>
                </c:pt>
                <c:pt idx="151">
                  <c:v>44782</c:v>
                </c:pt>
                <c:pt idx="152">
                  <c:v>44783</c:v>
                </c:pt>
                <c:pt idx="153">
                  <c:v>44784</c:v>
                </c:pt>
                <c:pt idx="154">
                  <c:v>44785</c:v>
                </c:pt>
                <c:pt idx="155">
                  <c:v>44788</c:v>
                </c:pt>
                <c:pt idx="156">
                  <c:v>44789</c:v>
                </c:pt>
                <c:pt idx="157">
                  <c:v>44790</c:v>
                </c:pt>
                <c:pt idx="158">
                  <c:v>44791</c:v>
                </c:pt>
                <c:pt idx="159">
                  <c:v>44792</c:v>
                </c:pt>
                <c:pt idx="160">
                  <c:v>44795</c:v>
                </c:pt>
                <c:pt idx="161">
                  <c:v>44796</c:v>
                </c:pt>
                <c:pt idx="162">
                  <c:v>44797</c:v>
                </c:pt>
                <c:pt idx="163">
                  <c:v>44798</c:v>
                </c:pt>
                <c:pt idx="164">
                  <c:v>44799</c:v>
                </c:pt>
                <c:pt idx="165">
                  <c:v>44802</c:v>
                </c:pt>
                <c:pt idx="166">
                  <c:v>44803</c:v>
                </c:pt>
                <c:pt idx="167">
                  <c:v>44804</c:v>
                </c:pt>
                <c:pt idx="168">
                  <c:v>44805</c:v>
                </c:pt>
                <c:pt idx="169">
                  <c:v>44806</c:v>
                </c:pt>
                <c:pt idx="170">
                  <c:v>44809</c:v>
                </c:pt>
                <c:pt idx="171">
                  <c:v>44810</c:v>
                </c:pt>
                <c:pt idx="172">
                  <c:v>44812</c:v>
                </c:pt>
                <c:pt idx="173">
                  <c:v>44813</c:v>
                </c:pt>
                <c:pt idx="174">
                  <c:v>44816</c:v>
                </c:pt>
                <c:pt idx="175">
                  <c:v>44817</c:v>
                </c:pt>
                <c:pt idx="176">
                  <c:v>44818</c:v>
                </c:pt>
                <c:pt idx="177">
                  <c:v>44819</c:v>
                </c:pt>
                <c:pt idx="178">
                  <c:v>44820</c:v>
                </c:pt>
                <c:pt idx="179">
                  <c:v>44823</c:v>
                </c:pt>
                <c:pt idx="180">
                  <c:v>44824</c:v>
                </c:pt>
                <c:pt idx="181">
                  <c:v>44825</c:v>
                </c:pt>
                <c:pt idx="182">
                  <c:v>44826</c:v>
                </c:pt>
                <c:pt idx="183">
                  <c:v>44827</c:v>
                </c:pt>
                <c:pt idx="184">
                  <c:v>44830</c:v>
                </c:pt>
                <c:pt idx="185">
                  <c:v>44831</c:v>
                </c:pt>
                <c:pt idx="186">
                  <c:v>44832</c:v>
                </c:pt>
                <c:pt idx="187">
                  <c:v>44833</c:v>
                </c:pt>
                <c:pt idx="188">
                  <c:v>44834</c:v>
                </c:pt>
                <c:pt idx="189">
                  <c:v>44837</c:v>
                </c:pt>
                <c:pt idx="190">
                  <c:v>44838</c:v>
                </c:pt>
                <c:pt idx="191">
                  <c:v>44839</c:v>
                </c:pt>
                <c:pt idx="192">
                  <c:v>44840</c:v>
                </c:pt>
                <c:pt idx="193">
                  <c:v>44841</c:v>
                </c:pt>
                <c:pt idx="194">
                  <c:v>44844</c:v>
                </c:pt>
                <c:pt idx="195">
                  <c:v>44845</c:v>
                </c:pt>
                <c:pt idx="196">
                  <c:v>44847</c:v>
                </c:pt>
                <c:pt idx="197">
                  <c:v>44848</c:v>
                </c:pt>
                <c:pt idx="198">
                  <c:v>44851</c:v>
                </c:pt>
                <c:pt idx="199">
                  <c:v>44852</c:v>
                </c:pt>
                <c:pt idx="200">
                  <c:v>44853</c:v>
                </c:pt>
                <c:pt idx="201">
                  <c:v>44854</c:v>
                </c:pt>
                <c:pt idx="202">
                  <c:v>44855</c:v>
                </c:pt>
                <c:pt idx="203">
                  <c:v>44858</c:v>
                </c:pt>
                <c:pt idx="204">
                  <c:v>44859</c:v>
                </c:pt>
                <c:pt idx="205">
                  <c:v>44860</c:v>
                </c:pt>
                <c:pt idx="206">
                  <c:v>44861</c:v>
                </c:pt>
                <c:pt idx="207">
                  <c:v>44862</c:v>
                </c:pt>
                <c:pt idx="208">
                  <c:v>44865</c:v>
                </c:pt>
                <c:pt idx="209">
                  <c:v>44866</c:v>
                </c:pt>
                <c:pt idx="210">
                  <c:v>44868</c:v>
                </c:pt>
                <c:pt idx="211">
                  <c:v>44869</c:v>
                </c:pt>
                <c:pt idx="212">
                  <c:v>44872</c:v>
                </c:pt>
                <c:pt idx="213">
                  <c:v>44873</c:v>
                </c:pt>
                <c:pt idx="214">
                  <c:v>44874</c:v>
                </c:pt>
                <c:pt idx="215">
                  <c:v>44875</c:v>
                </c:pt>
                <c:pt idx="216">
                  <c:v>44876</c:v>
                </c:pt>
                <c:pt idx="217">
                  <c:v>44879</c:v>
                </c:pt>
                <c:pt idx="218">
                  <c:v>44881</c:v>
                </c:pt>
                <c:pt idx="219">
                  <c:v>44882</c:v>
                </c:pt>
                <c:pt idx="220">
                  <c:v>44883</c:v>
                </c:pt>
                <c:pt idx="221">
                  <c:v>44886</c:v>
                </c:pt>
                <c:pt idx="222">
                  <c:v>44887</c:v>
                </c:pt>
                <c:pt idx="223">
                  <c:v>44888</c:v>
                </c:pt>
                <c:pt idx="224">
                  <c:v>44889</c:v>
                </c:pt>
                <c:pt idx="225">
                  <c:v>44890</c:v>
                </c:pt>
                <c:pt idx="226">
                  <c:v>44893</c:v>
                </c:pt>
                <c:pt idx="227">
                  <c:v>44894</c:v>
                </c:pt>
                <c:pt idx="228">
                  <c:v>44895</c:v>
                </c:pt>
                <c:pt idx="229">
                  <c:v>44896</c:v>
                </c:pt>
                <c:pt idx="230">
                  <c:v>44897</c:v>
                </c:pt>
                <c:pt idx="231">
                  <c:v>44900</c:v>
                </c:pt>
                <c:pt idx="232">
                  <c:v>44901</c:v>
                </c:pt>
                <c:pt idx="233">
                  <c:v>44902</c:v>
                </c:pt>
                <c:pt idx="234">
                  <c:v>44903</c:v>
                </c:pt>
                <c:pt idx="235">
                  <c:v>44904</c:v>
                </c:pt>
                <c:pt idx="236">
                  <c:v>44907</c:v>
                </c:pt>
                <c:pt idx="237">
                  <c:v>44908</c:v>
                </c:pt>
                <c:pt idx="238">
                  <c:v>44909</c:v>
                </c:pt>
                <c:pt idx="239">
                  <c:v>44910</c:v>
                </c:pt>
                <c:pt idx="240">
                  <c:v>44911</c:v>
                </c:pt>
                <c:pt idx="241">
                  <c:v>44914</c:v>
                </c:pt>
                <c:pt idx="242">
                  <c:v>44915</c:v>
                </c:pt>
                <c:pt idx="243">
                  <c:v>44916</c:v>
                </c:pt>
                <c:pt idx="244">
                  <c:v>44917</c:v>
                </c:pt>
                <c:pt idx="245">
                  <c:v>44918</c:v>
                </c:pt>
                <c:pt idx="246">
                  <c:v>44921</c:v>
                </c:pt>
                <c:pt idx="247">
                  <c:v>44922</c:v>
                </c:pt>
                <c:pt idx="248">
                  <c:v>44923</c:v>
                </c:pt>
                <c:pt idx="249">
                  <c:v>44924</c:v>
                </c:pt>
                <c:pt idx="250">
                  <c:v>44925</c:v>
                </c:pt>
                <c:pt idx="251">
                  <c:v>44928</c:v>
                </c:pt>
                <c:pt idx="252">
                  <c:v>44929</c:v>
                </c:pt>
                <c:pt idx="253">
                  <c:v>44930</c:v>
                </c:pt>
                <c:pt idx="254">
                  <c:v>44931</c:v>
                </c:pt>
                <c:pt idx="255">
                  <c:v>44932</c:v>
                </c:pt>
                <c:pt idx="256">
                  <c:v>44935</c:v>
                </c:pt>
                <c:pt idx="257">
                  <c:v>44936</c:v>
                </c:pt>
                <c:pt idx="258">
                  <c:v>44937</c:v>
                </c:pt>
                <c:pt idx="259">
                  <c:v>44938</c:v>
                </c:pt>
                <c:pt idx="260">
                  <c:v>44939</c:v>
                </c:pt>
                <c:pt idx="261">
                  <c:v>44942</c:v>
                </c:pt>
                <c:pt idx="262">
                  <c:v>44943</c:v>
                </c:pt>
                <c:pt idx="263">
                  <c:v>44944</c:v>
                </c:pt>
                <c:pt idx="264">
                  <c:v>44945</c:v>
                </c:pt>
                <c:pt idx="265">
                  <c:v>44946</c:v>
                </c:pt>
                <c:pt idx="266">
                  <c:v>44949</c:v>
                </c:pt>
                <c:pt idx="267">
                  <c:v>44950</c:v>
                </c:pt>
                <c:pt idx="268">
                  <c:v>44951</c:v>
                </c:pt>
                <c:pt idx="269">
                  <c:v>44952</c:v>
                </c:pt>
                <c:pt idx="270">
                  <c:v>44953</c:v>
                </c:pt>
                <c:pt idx="271">
                  <c:v>44956</c:v>
                </c:pt>
                <c:pt idx="272">
                  <c:v>44957</c:v>
                </c:pt>
                <c:pt idx="273">
                  <c:v>44958</c:v>
                </c:pt>
                <c:pt idx="274">
                  <c:v>44959</c:v>
                </c:pt>
                <c:pt idx="275">
                  <c:v>44960</c:v>
                </c:pt>
                <c:pt idx="276">
                  <c:v>44963</c:v>
                </c:pt>
                <c:pt idx="277">
                  <c:v>44964</c:v>
                </c:pt>
                <c:pt idx="278">
                  <c:v>44965</c:v>
                </c:pt>
                <c:pt idx="279">
                  <c:v>44966</c:v>
                </c:pt>
                <c:pt idx="280">
                  <c:v>44967</c:v>
                </c:pt>
                <c:pt idx="281">
                  <c:v>44970</c:v>
                </c:pt>
                <c:pt idx="282">
                  <c:v>44971</c:v>
                </c:pt>
                <c:pt idx="283">
                  <c:v>44972</c:v>
                </c:pt>
                <c:pt idx="284">
                  <c:v>44973</c:v>
                </c:pt>
                <c:pt idx="285">
                  <c:v>44974</c:v>
                </c:pt>
                <c:pt idx="286">
                  <c:v>44979</c:v>
                </c:pt>
                <c:pt idx="287">
                  <c:v>44980</c:v>
                </c:pt>
                <c:pt idx="288">
                  <c:v>44981</c:v>
                </c:pt>
                <c:pt idx="289">
                  <c:v>44984</c:v>
                </c:pt>
                <c:pt idx="290">
                  <c:v>44985</c:v>
                </c:pt>
                <c:pt idx="291">
                  <c:v>44986</c:v>
                </c:pt>
                <c:pt idx="292">
                  <c:v>44987</c:v>
                </c:pt>
                <c:pt idx="293">
                  <c:v>44988</c:v>
                </c:pt>
                <c:pt idx="294">
                  <c:v>44991</c:v>
                </c:pt>
                <c:pt idx="295">
                  <c:v>44992</c:v>
                </c:pt>
                <c:pt idx="296">
                  <c:v>44993</c:v>
                </c:pt>
                <c:pt idx="297">
                  <c:v>44994</c:v>
                </c:pt>
                <c:pt idx="298">
                  <c:v>44995</c:v>
                </c:pt>
                <c:pt idx="299">
                  <c:v>44998</c:v>
                </c:pt>
                <c:pt idx="300">
                  <c:v>44999</c:v>
                </c:pt>
                <c:pt idx="301">
                  <c:v>45000</c:v>
                </c:pt>
                <c:pt idx="302">
                  <c:v>45001</c:v>
                </c:pt>
                <c:pt idx="303">
                  <c:v>45002</c:v>
                </c:pt>
                <c:pt idx="304">
                  <c:v>45005</c:v>
                </c:pt>
              </c:numCache>
            </c:numRef>
          </c:cat>
          <c:val>
            <c:numRef>
              <c:f>'Exp Annual'!$E$4:$E$461</c:f>
              <c:numCache>
                <c:formatCode>General</c:formatCode>
                <c:ptCount val="458"/>
                <c:pt idx="0">
                  <c:v>2.92</c:v>
                </c:pt>
                <c:pt idx="1">
                  <c:v>2.92</c:v>
                </c:pt>
                <c:pt idx="2">
                  <c:v>2.92</c:v>
                </c:pt>
                <c:pt idx="3">
                  <c:v>2.92</c:v>
                </c:pt>
                <c:pt idx="4">
                  <c:v>2.92</c:v>
                </c:pt>
                <c:pt idx="5">
                  <c:v>2.92</c:v>
                </c:pt>
                <c:pt idx="6">
                  <c:v>2.92</c:v>
                </c:pt>
                <c:pt idx="7">
                  <c:v>2.92</c:v>
                </c:pt>
                <c:pt idx="8">
                  <c:v>2.92</c:v>
                </c:pt>
                <c:pt idx="9">
                  <c:v>3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2.4900000000000002</c:v>
                </c:pt>
                <c:pt idx="15">
                  <c:v>2.4900000000000002</c:v>
                </c:pt>
                <c:pt idx="16">
                  <c:v>2.4900000000000002</c:v>
                </c:pt>
                <c:pt idx="17">
                  <c:v>2.4900000000000002</c:v>
                </c:pt>
                <c:pt idx="18">
                  <c:v>2.4900000000000002</c:v>
                </c:pt>
                <c:pt idx="19">
                  <c:v>2.4900000000000002</c:v>
                </c:pt>
                <c:pt idx="20">
                  <c:v>2.4900000000000002</c:v>
                </c:pt>
                <c:pt idx="21">
                  <c:v>2.4900000000000002</c:v>
                </c:pt>
                <c:pt idx="22">
                  <c:v>2.4900000000000002</c:v>
                </c:pt>
                <c:pt idx="23">
                  <c:v>2.4900000000000002</c:v>
                </c:pt>
                <c:pt idx="24">
                  <c:v>2.99</c:v>
                </c:pt>
                <c:pt idx="25">
                  <c:v>3.0102000000000002</c:v>
                </c:pt>
                <c:pt idx="26">
                  <c:v>3.0102000000000002</c:v>
                </c:pt>
                <c:pt idx="27">
                  <c:v>3</c:v>
                </c:pt>
                <c:pt idx="28">
                  <c:v>3</c:v>
                </c:pt>
                <c:pt idx="29">
                  <c:v>2.4900000000000002</c:v>
                </c:pt>
                <c:pt idx="30">
                  <c:v>2.4900000000000002</c:v>
                </c:pt>
                <c:pt idx="31">
                  <c:v>2.4900000000000002</c:v>
                </c:pt>
                <c:pt idx="32">
                  <c:v>2.4900000000000002</c:v>
                </c:pt>
                <c:pt idx="33">
                  <c:v>2.4900000000000002</c:v>
                </c:pt>
                <c:pt idx="34">
                  <c:v>2.4900000000000002</c:v>
                </c:pt>
                <c:pt idx="35">
                  <c:v>2.4900000000000002</c:v>
                </c:pt>
                <c:pt idx="36">
                  <c:v>2.4900000000000002</c:v>
                </c:pt>
                <c:pt idx="37">
                  <c:v>2.4900000000000002</c:v>
                </c:pt>
                <c:pt idx="38">
                  <c:v>2.4900000000000002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2.9</c:v>
                </c:pt>
                <c:pt idx="43">
                  <c:v>2.9</c:v>
                </c:pt>
                <c:pt idx="44">
                  <c:v>2.9</c:v>
                </c:pt>
                <c:pt idx="45">
                  <c:v>2.9</c:v>
                </c:pt>
                <c:pt idx="46">
                  <c:v>2.9</c:v>
                </c:pt>
                <c:pt idx="47">
                  <c:v>2.9</c:v>
                </c:pt>
                <c:pt idx="48">
                  <c:v>2.9</c:v>
                </c:pt>
                <c:pt idx="49">
                  <c:v>2.9</c:v>
                </c:pt>
                <c:pt idx="50">
                  <c:v>2.9</c:v>
                </c:pt>
                <c:pt idx="51">
                  <c:v>2.9</c:v>
                </c:pt>
                <c:pt idx="52">
                  <c:v>2.9</c:v>
                </c:pt>
                <c:pt idx="53">
                  <c:v>2.9</c:v>
                </c:pt>
                <c:pt idx="54">
                  <c:v>2.9</c:v>
                </c:pt>
                <c:pt idx="55">
                  <c:v>2.9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3.0924999999999998</c:v>
                </c:pt>
                <c:pt idx="63">
                  <c:v>3.0924999999999998</c:v>
                </c:pt>
                <c:pt idx="64">
                  <c:v>3.0924999999999998</c:v>
                </c:pt>
                <c:pt idx="65">
                  <c:v>3.0924999999999998</c:v>
                </c:pt>
                <c:pt idx="66">
                  <c:v>3.0924999999999998</c:v>
                </c:pt>
                <c:pt idx="67">
                  <c:v>3.0924999999999998</c:v>
                </c:pt>
                <c:pt idx="68">
                  <c:v>3.0924999999999998</c:v>
                </c:pt>
                <c:pt idx="69">
                  <c:v>3.0924999999999998</c:v>
                </c:pt>
                <c:pt idx="70">
                  <c:v>3.0924999999999998</c:v>
                </c:pt>
                <c:pt idx="71">
                  <c:v>3.0924999999999998</c:v>
                </c:pt>
                <c:pt idx="72">
                  <c:v>3.25</c:v>
                </c:pt>
                <c:pt idx="73">
                  <c:v>3.2498999999999998</c:v>
                </c:pt>
                <c:pt idx="74">
                  <c:v>3.0924999999999998</c:v>
                </c:pt>
                <c:pt idx="75">
                  <c:v>3.0924999999999998</c:v>
                </c:pt>
                <c:pt idx="76">
                  <c:v>3.0924999999999998</c:v>
                </c:pt>
                <c:pt idx="77">
                  <c:v>3.0924999999999998</c:v>
                </c:pt>
                <c:pt idx="78">
                  <c:v>3.0924999999999998</c:v>
                </c:pt>
                <c:pt idx="79">
                  <c:v>2.9996</c:v>
                </c:pt>
                <c:pt idx="80">
                  <c:v>2.9996</c:v>
                </c:pt>
                <c:pt idx="81">
                  <c:v>2.9996</c:v>
                </c:pt>
                <c:pt idx="82">
                  <c:v>2.9996</c:v>
                </c:pt>
                <c:pt idx="83">
                  <c:v>2.9996</c:v>
                </c:pt>
                <c:pt idx="84">
                  <c:v>3.0411999999999999</c:v>
                </c:pt>
                <c:pt idx="85">
                  <c:v>3.51</c:v>
                </c:pt>
                <c:pt idx="86">
                  <c:v>3.51</c:v>
                </c:pt>
                <c:pt idx="87">
                  <c:v>3.51</c:v>
                </c:pt>
                <c:pt idx="88">
                  <c:v>3.2467000000000001</c:v>
                </c:pt>
                <c:pt idx="89">
                  <c:v>3.2467000000000001</c:v>
                </c:pt>
                <c:pt idx="90">
                  <c:v>3.0819000000000001</c:v>
                </c:pt>
                <c:pt idx="91">
                  <c:v>3.0819000000000001</c:v>
                </c:pt>
                <c:pt idx="92">
                  <c:v>3.0819000000000001</c:v>
                </c:pt>
                <c:pt idx="93">
                  <c:v>3.0819000000000001</c:v>
                </c:pt>
                <c:pt idx="94">
                  <c:v>3.0411999999999999</c:v>
                </c:pt>
                <c:pt idx="95">
                  <c:v>3.0411999999999999</c:v>
                </c:pt>
                <c:pt idx="96">
                  <c:v>3.0411999999999999</c:v>
                </c:pt>
                <c:pt idx="97">
                  <c:v>3.0411999999999999</c:v>
                </c:pt>
                <c:pt idx="98">
                  <c:v>3.0411999999999999</c:v>
                </c:pt>
                <c:pt idx="99">
                  <c:v>3.0411999999999999</c:v>
                </c:pt>
                <c:pt idx="100">
                  <c:v>3.25</c:v>
                </c:pt>
                <c:pt idx="101">
                  <c:v>3.25</c:v>
                </c:pt>
                <c:pt idx="102">
                  <c:v>3.5</c:v>
                </c:pt>
                <c:pt idx="103">
                  <c:v>3.2467000000000001</c:v>
                </c:pt>
                <c:pt idx="104">
                  <c:v>3.2467000000000001</c:v>
                </c:pt>
                <c:pt idx="105">
                  <c:v>3.2467000000000001</c:v>
                </c:pt>
                <c:pt idx="106">
                  <c:v>3.2467000000000001</c:v>
                </c:pt>
                <c:pt idx="107">
                  <c:v>3.2467000000000001</c:v>
                </c:pt>
                <c:pt idx="108">
                  <c:v>3.25</c:v>
                </c:pt>
                <c:pt idx="109">
                  <c:v>3.25</c:v>
                </c:pt>
                <c:pt idx="110">
                  <c:v>3.25</c:v>
                </c:pt>
                <c:pt idx="111">
                  <c:v>3.25</c:v>
                </c:pt>
                <c:pt idx="112">
                  <c:v>3.25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3.5</c:v>
                </c:pt>
                <c:pt idx="117">
                  <c:v>3.5</c:v>
                </c:pt>
                <c:pt idx="118">
                  <c:v>3.5</c:v>
                </c:pt>
                <c:pt idx="119">
                  <c:v>3.8</c:v>
                </c:pt>
                <c:pt idx="120">
                  <c:v>3.8</c:v>
                </c:pt>
                <c:pt idx="121">
                  <c:v>3.8</c:v>
                </c:pt>
                <c:pt idx="122">
                  <c:v>3.8</c:v>
                </c:pt>
                <c:pt idx="123">
                  <c:v>3.8</c:v>
                </c:pt>
                <c:pt idx="124">
                  <c:v>3.8</c:v>
                </c:pt>
                <c:pt idx="125">
                  <c:v>3.8</c:v>
                </c:pt>
                <c:pt idx="126">
                  <c:v>4</c:v>
                </c:pt>
                <c:pt idx="127">
                  <c:v>4</c:v>
                </c:pt>
                <c:pt idx="128">
                  <c:v>3.9241999999999999</c:v>
                </c:pt>
                <c:pt idx="129">
                  <c:v>3.9241999999999999</c:v>
                </c:pt>
                <c:pt idx="130">
                  <c:v>3.2987000000000002</c:v>
                </c:pt>
                <c:pt idx="131">
                  <c:v>3.2987000000000002</c:v>
                </c:pt>
                <c:pt idx="132">
                  <c:v>3.2987000000000002</c:v>
                </c:pt>
                <c:pt idx="133">
                  <c:v>3.2987000000000002</c:v>
                </c:pt>
                <c:pt idx="134">
                  <c:v>3.2987000000000002</c:v>
                </c:pt>
                <c:pt idx="135">
                  <c:v>3.2987000000000002</c:v>
                </c:pt>
                <c:pt idx="136">
                  <c:v>3.2987000000000002</c:v>
                </c:pt>
                <c:pt idx="137">
                  <c:v>3.2987000000000002</c:v>
                </c:pt>
                <c:pt idx="138">
                  <c:v>3.2987000000000002</c:v>
                </c:pt>
                <c:pt idx="139">
                  <c:v>3.2987000000000002</c:v>
                </c:pt>
                <c:pt idx="140">
                  <c:v>3.2987000000000002</c:v>
                </c:pt>
                <c:pt idx="141">
                  <c:v>3.2987000000000002</c:v>
                </c:pt>
                <c:pt idx="142">
                  <c:v>3.2987000000000002</c:v>
                </c:pt>
                <c:pt idx="143">
                  <c:v>3.2987000000000002</c:v>
                </c:pt>
                <c:pt idx="144">
                  <c:v>3.2987000000000002</c:v>
                </c:pt>
                <c:pt idx="145">
                  <c:v>3.2987000000000002</c:v>
                </c:pt>
                <c:pt idx="146">
                  <c:v>3.2987000000000002</c:v>
                </c:pt>
                <c:pt idx="147">
                  <c:v>3.2987000000000002</c:v>
                </c:pt>
                <c:pt idx="148">
                  <c:v>3.2987000000000002</c:v>
                </c:pt>
                <c:pt idx="149">
                  <c:v>3.2987000000000002</c:v>
                </c:pt>
                <c:pt idx="150">
                  <c:v>3.2987000000000002</c:v>
                </c:pt>
                <c:pt idx="151">
                  <c:v>3.2987000000000002</c:v>
                </c:pt>
                <c:pt idx="152">
                  <c:v>3.2987000000000002</c:v>
                </c:pt>
                <c:pt idx="153">
                  <c:v>3.2987000000000002</c:v>
                </c:pt>
                <c:pt idx="154">
                  <c:v>3.2987000000000002</c:v>
                </c:pt>
                <c:pt idx="155">
                  <c:v>3.2987000000000002</c:v>
                </c:pt>
                <c:pt idx="156">
                  <c:v>3.2987000000000002</c:v>
                </c:pt>
                <c:pt idx="157">
                  <c:v>3.2987000000000002</c:v>
                </c:pt>
                <c:pt idx="158">
                  <c:v>3.2987000000000002</c:v>
                </c:pt>
                <c:pt idx="159">
                  <c:v>3.2987000000000002</c:v>
                </c:pt>
                <c:pt idx="160">
                  <c:v>3.2987000000000002</c:v>
                </c:pt>
                <c:pt idx="161">
                  <c:v>3.2987000000000002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4.3846999999999996</c:v>
                </c:pt>
                <c:pt idx="168">
                  <c:v>3.2987000000000002</c:v>
                </c:pt>
                <c:pt idx="169">
                  <c:v>3.2987000000000002</c:v>
                </c:pt>
                <c:pt idx="170">
                  <c:v>3.2987000000000002</c:v>
                </c:pt>
                <c:pt idx="171">
                  <c:v>3.2987000000000002</c:v>
                </c:pt>
                <c:pt idx="172">
                  <c:v>3.2987000000000002</c:v>
                </c:pt>
                <c:pt idx="173">
                  <c:v>3.2987000000000002</c:v>
                </c:pt>
                <c:pt idx="174">
                  <c:v>3.2987000000000002</c:v>
                </c:pt>
                <c:pt idx="175">
                  <c:v>3.2987000000000002</c:v>
                </c:pt>
                <c:pt idx="176">
                  <c:v>3.2987000000000002</c:v>
                </c:pt>
                <c:pt idx="177">
                  <c:v>3.2987000000000002</c:v>
                </c:pt>
                <c:pt idx="178">
                  <c:v>3.5</c:v>
                </c:pt>
                <c:pt idx="179">
                  <c:v>3.2987000000000002</c:v>
                </c:pt>
                <c:pt idx="180">
                  <c:v>3.2987000000000002</c:v>
                </c:pt>
                <c:pt idx="181">
                  <c:v>3.2987000000000002</c:v>
                </c:pt>
                <c:pt idx="182">
                  <c:v>3.2987000000000002</c:v>
                </c:pt>
                <c:pt idx="183">
                  <c:v>3.2987000000000002</c:v>
                </c:pt>
                <c:pt idx="184">
                  <c:v>3.2987000000000002</c:v>
                </c:pt>
                <c:pt idx="185">
                  <c:v>3.2987000000000002</c:v>
                </c:pt>
                <c:pt idx="186">
                  <c:v>3.2987000000000002</c:v>
                </c:pt>
                <c:pt idx="187">
                  <c:v>3.2987000000000002</c:v>
                </c:pt>
                <c:pt idx="188">
                  <c:v>3.2987000000000002</c:v>
                </c:pt>
                <c:pt idx="189">
                  <c:v>3.2987000000000002</c:v>
                </c:pt>
                <c:pt idx="190">
                  <c:v>3.2987000000000002</c:v>
                </c:pt>
                <c:pt idx="191">
                  <c:v>3.2987000000000002</c:v>
                </c:pt>
                <c:pt idx="192">
                  <c:v>3.2987000000000002</c:v>
                </c:pt>
                <c:pt idx="193">
                  <c:v>3.2987000000000002</c:v>
                </c:pt>
                <c:pt idx="194">
                  <c:v>3.2987000000000002</c:v>
                </c:pt>
                <c:pt idx="195">
                  <c:v>3.2987000000000002</c:v>
                </c:pt>
                <c:pt idx="196">
                  <c:v>3.2987000000000002</c:v>
                </c:pt>
                <c:pt idx="197">
                  <c:v>3.2987000000000002</c:v>
                </c:pt>
                <c:pt idx="198">
                  <c:v>3.2987000000000002</c:v>
                </c:pt>
                <c:pt idx="199">
                  <c:v>3.2987000000000002</c:v>
                </c:pt>
                <c:pt idx="200">
                  <c:v>3.2987000000000002</c:v>
                </c:pt>
                <c:pt idx="201">
                  <c:v>3.2987000000000002</c:v>
                </c:pt>
                <c:pt idx="202">
                  <c:v>3.2987000000000002</c:v>
                </c:pt>
                <c:pt idx="203">
                  <c:v>3.2987000000000002</c:v>
                </c:pt>
                <c:pt idx="204">
                  <c:v>3.2987000000000002</c:v>
                </c:pt>
                <c:pt idx="205">
                  <c:v>3.2987000000000002</c:v>
                </c:pt>
                <c:pt idx="206">
                  <c:v>3.2987000000000002</c:v>
                </c:pt>
                <c:pt idx="207">
                  <c:v>3.2987000000000002</c:v>
                </c:pt>
                <c:pt idx="208">
                  <c:v>4.1769999999999996</c:v>
                </c:pt>
                <c:pt idx="209">
                  <c:v>3.2987000000000002</c:v>
                </c:pt>
                <c:pt idx="210">
                  <c:v>3.2987000000000002</c:v>
                </c:pt>
                <c:pt idx="211">
                  <c:v>3.2987000000000002</c:v>
                </c:pt>
                <c:pt idx="212">
                  <c:v>3.2987000000000002</c:v>
                </c:pt>
                <c:pt idx="213">
                  <c:v>3.2987000000000002</c:v>
                </c:pt>
                <c:pt idx="214">
                  <c:v>3.2987000000000002</c:v>
                </c:pt>
                <c:pt idx="215">
                  <c:v>3.2987000000000002</c:v>
                </c:pt>
                <c:pt idx="216">
                  <c:v>3.2987000000000002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3.4016000000000002</c:v>
                </c:pt>
                <c:pt idx="221">
                  <c:v>3.4016000000000002</c:v>
                </c:pt>
                <c:pt idx="222">
                  <c:v>3.4016000000000002</c:v>
                </c:pt>
                <c:pt idx="223">
                  <c:v>3.4016000000000002</c:v>
                </c:pt>
                <c:pt idx="224">
                  <c:v>3.4016000000000002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3.4016000000000002</c:v>
                </c:pt>
                <c:pt idx="229">
                  <c:v>3.4016000000000002</c:v>
                </c:pt>
                <c:pt idx="230">
                  <c:v>3.4016000000000002</c:v>
                </c:pt>
                <c:pt idx="231">
                  <c:v>3.4016000000000002</c:v>
                </c:pt>
                <c:pt idx="232">
                  <c:v>3.4016000000000002</c:v>
                </c:pt>
                <c:pt idx="233">
                  <c:v>3.4016000000000002</c:v>
                </c:pt>
                <c:pt idx="234">
                  <c:v>3.4016000000000002</c:v>
                </c:pt>
                <c:pt idx="235">
                  <c:v>3.4016000000000002</c:v>
                </c:pt>
                <c:pt idx="236">
                  <c:v>3.4016000000000002</c:v>
                </c:pt>
                <c:pt idx="237">
                  <c:v>3.4016000000000002</c:v>
                </c:pt>
                <c:pt idx="238">
                  <c:v>3.4016000000000002</c:v>
                </c:pt>
                <c:pt idx="239">
                  <c:v>3.4016000000000002</c:v>
                </c:pt>
                <c:pt idx="240">
                  <c:v>3.4016000000000002</c:v>
                </c:pt>
                <c:pt idx="241">
                  <c:v>3.4016000000000002</c:v>
                </c:pt>
                <c:pt idx="242">
                  <c:v>3.4016000000000002</c:v>
                </c:pt>
                <c:pt idx="243">
                  <c:v>3.4016000000000002</c:v>
                </c:pt>
                <c:pt idx="244">
                  <c:v>3.4016000000000002</c:v>
                </c:pt>
                <c:pt idx="245">
                  <c:v>3.4016000000000002</c:v>
                </c:pt>
                <c:pt idx="246">
                  <c:v>3.4016000000000002</c:v>
                </c:pt>
                <c:pt idx="247">
                  <c:v>4.2083000000000004</c:v>
                </c:pt>
                <c:pt idx="248">
                  <c:v>4.2083000000000004</c:v>
                </c:pt>
                <c:pt idx="249">
                  <c:v>4.4474</c:v>
                </c:pt>
                <c:pt idx="250">
                  <c:v>4.4565999999999999</c:v>
                </c:pt>
                <c:pt idx="251">
                  <c:v>4.5197000000000003</c:v>
                </c:pt>
                <c:pt idx="252">
                  <c:v>4.5091999999999999</c:v>
                </c:pt>
                <c:pt idx="253">
                  <c:v>4.5091999999999999</c:v>
                </c:pt>
                <c:pt idx="254">
                  <c:v>4.5091999999999999</c:v>
                </c:pt>
                <c:pt idx="255">
                  <c:v>4.4775999999999998</c:v>
                </c:pt>
                <c:pt idx="256">
                  <c:v>4.4775999999999998</c:v>
                </c:pt>
                <c:pt idx="257">
                  <c:v>4.4474</c:v>
                </c:pt>
                <c:pt idx="258">
                  <c:v>4.4474</c:v>
                </c:pt>
                <c:pt idx="259">
                  <c:v>4.4474</c:v>
                </c:pt>
                <c:pt idx="260">
                  <c:v>4.4474</c:v>
                </c:pt>
                <c:pt idx="261">
                  <c:v>3.5047000000000001</c:v>
                </c:pt>
                <c:pt idx="262">
                  <c:v>3.5047000000000001</c:v>
                </c:pt>
                <c:pt idx="263">
                  <c:v>3.5047000000000001</c:v>
                </c:pt>
                <c:pt idx="264">
                  <c:v>3.5047000000000001</c:v>
                </c:pt>
                <c:pt idx="265">
                  <c:v>3.5047000000000001</c:v>
                </c:pt>
                <c:pt idx="266">
                  <c:v>4.4359000000000002</c:v>
                </c:pt>
                <c:pt idx="267">
                  <c:v>4.4359000000000002</c:v>
                </c:pt>
                <c:pt idx="268">
                  <c:v>4.4359000000000002</c:v>
                </c:pt>
                <c:pt idx="269">
                  <c:v>3.9701</c:v>
                </c:pt>
                <c:pt idx="270">
                  <c:v>3.9701</c:v>
                </c:pt>
                <c:pt idx="271">
                  <c:v>3.9701</c:v>
                </c:pt>
                <c:pt idx="272">
                  <c:v>3.9701</c:v>
                </c:pt>
                <c:pt idx="273">
                  <c:v>3.9701</c:v>
                </c:pt>
                <c:pt idx="274">
                  <c:v>4.0218999999999996</c:v>
                </c:pt>
                <c:pt idx="275">
                  <c:v>4.0218999999999996</c:v>
                </c:pt>
                <c:pt idx="276">
                  <c:v>4.0218999999999996</c:v>
                </c:pt>
                <c:pt idx="277">
                  <c:v>4.0218999999999996</c:v>
                </c:pt>
                <c:pt idx="278">
                  <c:v>3.6078000000000001</c:v>
                </c:pt>
                <c:pt idx="279">
                  <c:v>3.6387</c:v>
                </c:pt>
                <c:pt idx="280">
                  <c:v>3.6387</c:v>
                </c:pt>
                <c:pt idx="281">
                  <c:v>3.6387</c:v>
                </c:pt>
                <c:pt idx="282">
                  <c:v>3.6387</c:v>
                </c:pt>
                <c:pt idx="283">
                  <c:v>3.6387</c:v>
                </c:pt>
                <c:pt idx="284">
                  <c:v>4.8410000000000002</c:v>
                </c:pt>
                <c:pt idx="285">
                  <c:v>4.4668000000000001</c:v>
                </c:pt>
                <c:pt idx="286">
                  <c:v>4.4668000000000001</c:v>
                </c:pt>
                <c:pt idx="287">
                  <c:v>4.4668000000000001</c:v>
                </c:pt>
                <c:pt idx="288">
                  <c:v>4.4668000000000001</c:v>
                </c:pt>
                <c:pt idx="289">
                  <c:v>4.4668000000000001</c:v>
                </c:pt>
                <c:pt idx="290">
                  <c:v>4.4211</c:v>
                </c:pt>
                <c:pt idx="291">
                  <c:v>4.3692000000000002</c:v>
                </c:pt>
                <c:pt idx="292">
                  <c:v>4.4211</c:v>
                </c:pt>
                <c:pt idx="293">
                  <c:v>4.4211</c:v>
                </c:pt>
                <c:pt idx="294">
                  <c:v>4.6242999999999999</c:v>
                </c:pt>
                <c:pt idx="295">
                  <c:v>4.6242999999999999</c:v>
                </c:pt>
                <c:pt idx="296">
                  <c:v>4.6242999999999999</c:v>
                </c:pt>
                <c:pt idx="297">
                  <c:v>4.6242999999999999</c:v>
                </c:pt>
                <c:pt idx="298">
                  <c:v>4.8217999999999996</c:v>
                </c:pt>
                <c:pt idx="299">
                  <c:v>4.8217999999999996</c:v>
                </c:pt>
                <c:pt idx="300">
                  <c:v>4.8217999999999996</c:v>
                </c:pt>
                <c:pt idx="301">
                  <c:v>4.8217999999999996</c:v>
                </c:pt>
                <c:pt idx="302">
                  <c:v>4.8217999999999996</c:v>
                </c:pt>
                <c:pt idx="303">
                  <c:v>4.9462000000000002</c:v>
                </c:pt>
                <c:pt idx="304">
                  <c:v>4.7695999999999996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78-49E6-9275-08E68CAC80C3}"/>
            </c:ext>
          </c:extLst>
        </c:ser>
        <c:ser>
          <c:idx val="2"/>
          <c:order val="1"/>
          <c:tx>
            <c:strRef>
              <c:f>'Exp Annual'!$F$3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Annual'!$D$4:$D$461</c:f>
              <c:numCache>
                <c:formatCode>m/d/yyyy</c:formatCode>
                <c:ptCount val="458"/>
                <c:pt idx="0">
                  <c:v>44564</c:v>
                </c:pt>
                <c:pt idx="1">
                  <c:v>44565</c:v>
                </c:pt>
                <c:pt idx="2">
                  <c:v>44566</c:v>
                </c:pt>
                <c:pt idx="3">
                  <c:v>44567</c:v>
                </c:pt>
                <c:pt idx="4">
                  <c:v>44568</c:v>
                </c:pt>
                <c:pt idx="5">
                  <c:v>44571</c:v>
                </c:pt>
                <c:pt idx="6">
                  <c:v>44572</c:v>
                </c:pt>
                <c:pt idx="7">
                  <c:v>44573</c:v>
                </c:pt>
                <c:pt idx="8">
                  <c:v>44574</c:v>
                </c:pt>
                <c:pt idx="9">
                  <c:v>44575</c:v>
                </c:pt>
                <c:pt idx="10">
                  <c:v>44578</c:v>
                </c:pt>
                <c:pt idx="11">
                  <c:v>44579</c:v>
                </c:pt>
                <c:pt idx="12">
                  <c:v>44580</c:v>
                </c:pt>
                <c:pt idx="13">
                  <c:v>44581</c:v>
                </c:pt>
                <c:pt idx="14">
                  <c:v>44582</c:v>
                </c:pt>
                <c:pt idx="15">
                  <c:v>44585</c:v>
                </c:pt>
                <c:pt idx="16">
                  <c:v>44586</c:v>
                </c:pt>
                <c:pt idx="17">
                  <c:v>44587</c:v>
                </c:pt>
                <c:pt idx="18">
                  <c:v>44588</c:v>
                </c:pt>
                <c:pt idx="19">
                  <c:v>44589</c:v>
                </c:pt>
                <c:pt idx="20">
                  <c:v>44592</c:v>
                </c:pt>
                <c:pt idx="21">
                  <c:v>44593</c:v>
                </c:pt>
                <c:pt idx="22">
                  <c:v>44594</c:v>
                </c:pt>
                <c:pt idx="23">
                  <c:v>44595</c:v>
                </c:pt>
                <c:pt idx="24">
                  <c:v>44596</c:v>
                </c:pt>
                <c:pt idx="25">
                  <c:v>44599</c:v>
                </c:pt>
                <c:pt idx="26">
                  <c:v>44600</c:v>
                </c:pt>
                <c:pt idx="27">
                  <c:v>44601</c:v>
                </c:pt>
                <c:pt idx="28">
                  <c:v>44602</c:v>
                </c:pt>
                <c:pt idx="29">
                  <c:v>44603</c:v>
                </c:pt>
                <c:pt idx="30">
                  <c:v>44606</c:v>
                </c:pt>
                <c:pt idx="31">
                  <c:v>44607</c:v>
                </c:pt>
                <c:pt idx="32">
                  <c:v>44608</c:v>
                </c:pt>
                <c:pt idx="33">
                  <c:v>44609</c:v>
                </c:pt>
                <c:pt idx="34">
                  <c:v>44610</c:v>
                </c:pt>
                <c:pt idx="35">
                  <c:v>44613</c:v>
                </c:pt>
                <c:pt idx="36">
                  <c:v>44614</c:v>
                </c:pt>
                <c:pt idx="37">
                  <c:v>44615</c:v>
                </c:pt>
                <c:pt idx="38">
                  <c:v>44616</c:v>
                </c:pt>
                <c:pt idx="39">
                  <c:v>44617</c:v>
                </c:pt>
                <c:pt idx="40">
                  <c:v>44622</c:v>
                </c:pt>
                <c:pt idx="41">
                  <c:v>44623</c:v>
                </c:pt>
                <c:pt idx="42">
                  <c:v>44624</c:v>
                </c:pt>
                <c:pt idx="43">
                  <c:v>44627</c:v>
                </c:pt>
                <c:pt idx="44">
                  <c:v>44628</c:v>
                </c:pt>
                <c:pt idx="45">
                  <c:v>44629</c:v>
                </c:pt>
                <c:pt idx="46">
                  <c:v>44630</c:v>
                </c:pt>
                <c:pt idx="47">
                  <c:v>44631</c:v>
                </c:pt>
                <c:pt idx="48">
                  <c:v>44634</c:v>
                </c:pt>
                <c:pt idx="49">
                  <c:v>44635</c:v>
                </c:pt>
                <c:pt idx="50">
                  <c:v>44636</c:v>
                </c:pt>
                <c:pt idx="51">
                  <c:v>44637</c:v>
                </c:pt>
                <c:pt idx="52">
                  <c:v>44638</c:v>
                </c:pt>
                <c:pt idx="53">
                  <c:v>44641</c:v>
                </c:pt>
                <c:pt idx="54">
                  <c:v>44642</c:v>
                </c:pt>
                <c:pt idx="55">
                  <c:v>44643</c:v>
                </c:pt>
                <c:pt idx="56">
                  <c:v>44644</c:v>
                </c:pt>
                <c:pt idx="57">
                  <c:v>44645</c:v>
                </c:pt>
                <c:pt idx="58">
                  <c:v>44648</c:v>
                </c:pt>
                <c:pt idx="59">
                  <c:v>44649</c:v>
                </c:pt>
                <c:pt idx="60">
                  <c:v>44650</c:v>
                </c:pt>
                <c:pt idx="61">
                  <c:v>44651</c:v>
                </c:pt>
                <c:pt idx="62">
                  <c:v>44652</c:v>
                </c:pt>
                <c:pt idx="63">
                  <c:v>44655</c:v>
                </c:pt>
                <c:pt idx="64">
                  <c:v>44656</c:v>
                </c:pt>
                <c:pt idx="65">
                  <c:v>44657</c:v>
                </c:pt>
                <c:pt idx="66">
                  <c:v>44658</c:v>
                </c:pt>
                <c:pt idx="67">
                  <c:v>44659</c:v>
                </c:pt>
                <c:pt idx="68">
                  <c:v>44662</c:v>
                </c:pt>
                <c:pt idx="69">
                  <c:v>44663</c:v>
                </c:pt>
                <c:pt idx="70">
                  <c:v>44664</c:v>
                </c:pt>
                <c:pt idx="71">
                  <c:v>44665</c:v>
                </c:pt>
                <c:pt idx="72">
                  <c:v>44669</c:v>
                </c:pt>
                <c:pt idx="73">
                  <c:v>44670</c:v>
                </c:pt>
                <c:pt idx="74">
                  <c:v>44671</c:v>
                </c:pt>
                <c:pt idx="75">
                  <c:v>44673</c:v>
                </c:pt>
                <c:pt idx="76">
                  <c:v>44676</c:v>
                </c:pt>
                <c:pt idx="77">
                  <c:v>44677</c:v>
                </c:pt>
                <c:pt idx="78">
                  <c:v>44678</c:v>
                </c:pt>
                <c:pt idx="79">
                  <c:v>44679</c:v>
                </c:pt>
                <c:pt idx="80">
                  <c:v>44680</c:v>
                </c:pt>
                <c:pt idx="81">
                  <c:v>44683</c:v>
                </c:pt>
                <c:pt idx="82">
                  <c:v>44684</c:v>
                </c:pt>
                <c:pt idx="83">
                  <c:v>44685</c:v>
                </c:pt>
                <c:pt idx="84">
                  <c:v>44686</c:v>
                </c:pt>
                <c:pt idx="85">
                  <c:v>44687</c:v>
                </c:pt>
                <c:pt idx="86">
                  <c:v>44690</c:v>
                </c:pt>
                <c:pt idx="87">
                  <c:v>44691</c:v>
                </c:pt>
                <c:pt idx="88">
                  <c:v>44692</c:v>
                </c:pt>
                <c:pt idx="89">
                  <c:v>44693</c:v>
                </c:pt>
                <c:pt idx="90">
                  <c:v>44694</c:v>
                </c:pt>
                <c:pt idx="91">
                  <c:v>44697</c:v>
                </c:pt>
                <c:pt idx="92">
                  <c:v>44698</c:v>
                </c:pt>
                <c:pt idx="93">
                  <c:v>44699</c:v>
                </c:pt>
                <c:pt idx="94">
                  <c:v>44700</c:v>
                </c:pt>
                <c:pt idx="95">
                  <c:v>44701</c:v>
                </c:pt>
                <c:pt idx="96">
                  <c:v>44704</c:v>
                </c:pt>
                <c:pt idx="97">
                  <c:v>44705</c:v>
                </c:pt>
                <c:pt idx="98">
                  <c:v>44706</c:v>
                </c:pt>
                <c:pt idx="99">
                  <c:v>44707</c:v>
                </c:pt>
                <c:pt idx="100">
                  <c:v>44708</c:v>
                </c:pt>
                <c:pt idx="101">
                  <c:v>44711</c:v>
                </c:pt>
                <c:pt idx="102">
                  <c:v>44712</c:v>
                </c:pt>
                <c:pt idx="103">
                  <c:v>44713</c:v>
                </c:pt>
                <c:pt idx="104">
                  <c:v>44714</c:v>
                </c:pt>
                <c:pt idx="105">
                  <c:v>44715</c:v>
                </c:pt>
                <c:pt idx="106">
                  <c:v>44718</c:v>
                </c:pt>
                <c:pt idx="107">
                  <c:v>44719</c:v>
                </c:pt>
                <c:pt idx="108">
                  <c:v>44720</c:v>
                </c:pt>
                <c:pt idx="109">
                  <c:v>44721</c:v>
                </c:pt>
                <c:pt idx="110">
                  <c:v>44722</c:v>
                </c:pt>
                <c:pt idx="111">
                  <c:v>44725</c:v>
                </c:pt>
                <c:pt idx="112">
                  <c:v>44726</c:v>
                </c:pt>
                <c:pt idx="113">
                  <c:v>44727</c:v>
                </c:pt>
                <c:pt idx="114">
                  <c:v>44729</c:v>
                </c:pt>
                <c:pt idx="115">
                  <c:v>44732</c:v>
                </c:pt>
                <c:pt idx="116">
                  <c:v>44733</c:v>
                </c:pt>
                <c:pt idx="117">
                  <c:v>44734</c:v>
                </c:pt>
                <c:pt idx="118">
                  <c:v>44735</c:v>
                </c:pt>
                <c:pt idx="119">
                  <c:v>44736</c:v>
                </c:pt>
                <c:pt idx="120">
                  <c:v>44739</c:v>
                </c:pt>
                <c:pt idx="121">
                  <c:v>44740</c:v>
                </c:pt>
                <c:pt idx="122">
                  <c:v>44741</c:v>
                </c:pt>
                <c:pt idx="123">
                  <c:v>44742</c:v>
                </c:pt>
                <c:pt idx="124">
                  <c:v>44743</c:v>
                </c:pt>
                <c:pt idx="125">
                  <c:v>44746</c:v>
                </c:pt>
                <c:pt idx="126">
                  <c:v>44747</c:v>
                </c:pt>
                <c:pt idx="127">
                  <c:v>44748</c:v>
                </c:pt>
                <c:pt idx="128">
                  <c:v>44749</c:v>
                </c:pt>
                <c:pt idx="129">
                  <c:v>44750</c:v>
                </c:pt>
                <c:pt idx="130">
                  <c:v>44753</c:v>
                </c:pt>
                <c:pt idx="131">
                  <c:v>44754</c:v>
                </c:pt>
                <c:pt idx="132">
                  <c:v>44755</c:v>
                </c:pt>
                <c:pt idx="133">
                  <c:v>44756</c:v>
                </c:pt>
                <c:pt idx="134">
                  <c:v>44757</c:v>
                </c:pt>
                <c:pt idx="135">
                  <c:v>44760</c:v>
                </c:pt>
                <c:pt idx="136">
                  <c:v>44761</c:v>
                </c:pt>
                <c:pt idx="137">
                  <c:v>44762</c:v>
                </c:pt>
                <c:pt idx="138">
                  <c:v>44763</c:v>
                </c:pt>
                <c:pt idx="139">
                  <c:v>44764</c:v>
                </c:pt>
                <c:pt idx="140">
                  <c:v>44767</c:v>
                </c:pt>
                <c:pt idx="141">
                  <c:v>44768</c:v>
                </c:pt>
                <c:pt idx="142">
                  <c:v>44769</c:v>
                </c:pt>
                <c:pt idx="143">
                  <c:v>44770</c:v>
                </c:pt>
                <c:pt idx="144">
                  <c:v>44771</c:v>
                </c:pt>
                <c:pt idx="145">
                  <c:v>44774</c:v>
                </c:pt>
                <c:pt idx="146">
                  <c:v>44775</c:v>
                </c:pt>
                <c:pt idx="147">
                  <c:v>44776</c:v>
                </c:pt>
                <c:pt idx="148">
                  <c:v>44777</c:v>
                </c:pt>
                <c:pt idx="149">
                  <c:v>44778</c:v>
                </c:pt>
                <c:pt idx="150">
                  <c:v>44781</c:v>
                </c:pt>
                <c:pt idx="151">
                  <c:v>44782</c:v>
                </c:pt>
                <c:pt idx="152">
                  <c:v>44783</c:v>
                </c:pt>
                <c:pt idx="153">
                  <c:v>44784</c:v>
                </c:pt>
                <c:pt idx="154">
                  <c:v>44785</c:v>
                </c:pt>
                <c:pt idx="155">
                  <c:v>44788</c:v>
                </c:pt>
                <c:pt idx="156">
                  <c:v>44789</c:v>
                </c:pt>
                <c:pt idx="157">
                  <c:v>44790</c:v>
                </c:pt>
                <c:pt idx="158">
                  <c:v>44791</c:v>
                </c:pt>
                <c:pt idx="159">
                  <c:v>44792</c:v>
                </c:pt>
                <c:pt idx="160">
                  <c:v>44795</c:v>
                </c:pt>
                <c:pt idx="161">
                  <c:v>44796</c:v>
                </c:pt>
                <c:pt idx="162">
                  <c:v>44797</c:v>
                </c:pt>
                <c:pt idx="163">
                  <c:v>44798</c:v>
                </c:pt>
                <c:pt idx="164">
                  <c:v>44799</c:v>
                </c:pt>
                <c:pt idx="165">
                  <c:v>44802</c:v>
                </c:pt>
                <c:pt idx="166">
                  <c:v>44803</c:v>
                </c:pt>
                <c:pt idx="167">
                  <c:v>44804</c:v>
                </c:pt>
                <c:pt idx="168">
                  <c:v>44805</c:v>
                </c:pt>
                <c:pt idx="169">
                  <c:v>44806</c:v>
                </c:pt>
                <c:pt idx="170">
                  <c:v>44809</c:v>
                </c:pt>
                <c:pt idx="171">
                  <c:v>44810</c:v>
                </c:pt>
                <c:pt idx="172">
                  <c:v>44812</c:v>
                </c:pt>
                <c:pt idx="173">
                  <c:v>44813</c:v>
                </c:pt>
                <c:pt idx="174">
                  <c:v>44816</c:v>
                </c:pt>
                <c:pt idx="175">
                  <c:v>44817</c:v>
                </c:pt>
                <c:pt idx="176">
                  <c:v>44818</c:v>
                </c:pt>
                <c:pt idx="177">
                  <c:v>44819</c:v>
                </c:pt>
                <c:pt idx="178">
                  <c:v>44820</c:v>
                </c:pt>
                <c:pt idx="179">
                  <c:v>44823</c:v>
                </c:pt>
                <c:pt idx="180">
                  <c:v>44824</c:v>
                </c:pt>
                <c:pt idx="181">
                  <c:v>44825</c:v>
                </c:pt>
                <c:pt idx="182">
                  <c:v>44826</c:v>
                </c:pt>
                <c:pt idx="183">
                  <c:v>44827</c:v>
                </c:pt>
                <c:pt idx="184">
                  <c:v>44830</c:v>
                </c:pt>
                <c:pt idx="185">
                  <c:v>44831</c:v>
                </c:pt>
                <c:pt idx="186">
                  <c:v>44832</c:v>
                </c:pt>
                <c:pt idx="187">
                  <c:v>44833</c:v>
                </c:pt>
                <c:pt idx="188">
                  <c:v>44834</c:v>
                </c:pt>
                <c:pt idx="189">
                  <c:v>44837</c:v>
                </c:pt>
                <c:pt idx="190">
                  <c:v>44838</c:v>
                </c:pt>
                <c:pt idx="191">
                  <c:v>44839</c:v>
                </c:pt>
                <c:pt idx="192">
                  <c:v>44840</c:v>
                </c:pt>
                <c:pt idx="193">
                  <c:v>44841</c:v>
                </c:pt>
                <c:pt idx="194">
                  <c:v>44844</c:v>
                </c:pt>
                <c:pt idx="195">
                  <c:v>44845</c:v>
                </c:pt>
                <c:pt idx="196">
                  <c:v>44847</c:v>
                </c:pt>
                <c:pt idx="197">
                  <c:v>44848</c:v>
                </c:pt>
                <c:pt idx="198">
                  <c:v>44851</c:v>
                </c:pt>
                <c:pt idx="199">
                  <c:v>44852</c:v>
                </c:pt>
                <c:pt idx="200">
                  <c:v>44853</c:v>
                </c:pt>
                <c:pt idx="201">
                  <c:v>44854</c:v>
                </c:pt>
                <c:pt idx="202">
                  <c:v>44855</c:v>
                </c:pt>
                <c:pt idx="203">
                  <c:v>44858</c:v>
                </c:pt>
                <c:pt idx="204">
                  <c:v>44859</c:v>
                </c:pt>
                <c:pt idx="205">
                  <c:v>44860</c:v>
                </c:pt>
                <c:pt idx="206">
                  <c:v>44861</c:v>
                </c:pt>
                <c:pt idx="207">
                  <c:v>44862</c:v>
                </c:pt>
                <c:pt idx="208">
                  <c:v>44865</c:v>
                </c:pt>
                <c:pt idx="209">
                  <c:v>44866</c:v>
                </c:pt>
                <c:pt idx="210">
                  <c:v>44868</c:v>
                </c:pt>
                <c:pt idx="211">
                  <c:v>44869</c:v>
                </c:pt>
                <c:pt idx="212">
                  <c:v>44872</c:v>
                </c:pt>
                <c:pt idx="213">
                  <c:v>44873</c:v>
                </c:pt>
                <c:pt idx="214">
                  <c:v>44874</c:v>
                </c:pt>
                <c:pt idx="215">
                  <c:v>44875</c:v>
                </c:pt>
                <c:pt idx="216">
                  <c:v>44876</c:v>
                </c:pt>
                <c:pt idx="217">
                  <c:v>44879</c:v>
                </c:pt>
                <c:pt idx="218">
                  <c:v>44881</c:v>
                </c:pt>
                <c:pt idx="219">
                  <c:v>44882</c:v>
                </c:pt>
                <c:pt idx="220">
                  <c:v>44883</c:v>
                </c:pt>
                <c:pt idx="221">
                  <c:v>44886</c:v>
                </c:pt>
                <c:pt idx="222">
                  <c:v>44887</c:v>
                </c:pt>
                <c:pt idx="223">
                  <c:v>44888</c:v>
                </c:pt>
                <c:pt idx="224">
                  <c:v>44889</c:v>
                </c:pt>
                <c:pt idx="225">
                  <c:v>44890</c:v>
                </c:pt>
                <c:pt idx="226">
                  <c:v>44893</c:v>
                </c:pt>
                <c:pt idx="227">
                  <c:v>44894</c:v>
                </c:pt>
                <c:pt idx="228">
                  <c:v>44895</c:v>
                </c:pt>
                <c:pt idx="229">
                  <c:v>44896</c:v>
                </c:pt>
                <c:pt idx="230">
                  <c:v>44897</c:v>
                </c:pt>
                <c:pt idx="231">
                  <c:v>44900</c:v>
                </c:pt>
                <c:pt idx="232">
                  <c:v>44901</c:v>
                </c:pt>
                <c:pt idx="233">
                  <c:v>44902</c:v>
                </c:pt>
                <c:pt idx="234">
                  <c:v>44903</c:v>
                </c:pt>
                <c:pt idx="235">
                  <c:v>44904</c:v>
                </c:pt>
                <c:pt idx="236">
                  <c:v>44907</c:v>
                </c:pt>
                <c:pt idx="237">
                  <c:v>44908</c:v>
                </c:pt>
                <c:pt idx="238">
                  <c:v>44909</c:v>
                </c:pt>
                <c:pt idx="239">
                  <c:v>44910</c:v>
                </c:pt>
                <c:pt idx="240">
                  <c:v>44911</c:v>
                </c:pt>
                <c:pt idx="241">
                  <c:v>44914</c:v>
                </c:pt>
                <c:pt idx="242">
                  <c:v>44915</c:v>
                </c:pt>
                <c:pt idx="243">
                  <c:v>44916</c:v>
                </c:pt>
                <c:pt idx="244">
                  <c:v>44917</c:v>
                </c:pt>
                <c:pt idx="245">
                  <c:v>44918</c:v>
                </c:pt>
                <c:pt idx="246">
                  <c:v>44921</c:v>
                </c:pt>
                <c:pt idx="247">
                  <c:v>44922</c:v>
                </c:pt>
                <c:pt idx="248">
                  <c:v>44923</c:v>
                </c:pt>
                <c:pt idx="249">
                  <c:v>44924</c:v>
                </c:pt>
                <c:pt idx="250">
                  <c:v>44925</c:v>
                </c:pt>
                <c:pt idx="251">
                  <c:v>44928</c:v>
                </c:pt>
                <c:pt idx="252">
                  <c:v>44929</c:v>
                </c:pt>
                <c:pt idx="253">
                  <c:v>44930</c:v>
                </c:pt>
                <c:pt idx="254">
                  <c:v>44931</c:v>
                </c:pt>
                <c:pt idx="255">
                  <c:v>44932</c:v>
                </c:pt>
                <c:pt idx="256">
                  <c:v>44935</c:v>
                </c:pt>
                <c:pt idx="257">
                  <c:v>44936</c:v>
                </c:pt>
                <c:pt idx="258">
                  <c:v>44937</c:v>
                </c:pt>
                <c:pt idx="259">
                  <c:v>44938</c:v>
                </c:pt>
                <c:pt idx="260">
                  <c:v>44939</c:v>
                </c:pt>
                <c:pt idx="261">
                  <c:v>44942</c:v>
                </c:pt>
                <c:pt idx="262">
                  <c:v>44943</c:v>
                </c:pt>
                <c:pt idx="263">
                  <c:v>44944</c:v>
                </c:pt>
                <c:pt idx="264">
                  <c:v>44945</c:v>
                </c:pt>
                <c:pt idx="265">
                  <c:v>44946</c:v>
                </c:pt>
                <c:pt idx="266">
                  <c:v>44949</c:v>
                </c:pt>
                <c:pt idx="267">
                  <c:v>44950</c:v>
                </c:pt>
                <c:pt idx="268">
                  <c:v>44951</c:v>
                </c:pt>
                <c:pt idx="269">
                  <c:v>44952</c:v>
                </c:pt>
                <c:pt idx="270">
                  <c:v>44953</c:v>
                </c:pt>
                <c:pt idx="271">
                  <c:v>44956</c:v>
                </c:pt>
                <c:pt idx="272">
                  <c:v>44957</c:v>
                </c:pt>
                <c:pt idx="273">
                  <c:v>44958</c:v>
                </c:pt>
                <c:pt idx="274">
                  <c:v>44959</c:v>
                </c:pt>
                <c:pt idx="275">
                  <c:v>44960</c:v>
                </c:pt>
                <c:pt idx="276">
                  <c:v>44963</c:v>
                </c:pt>
                <c:pt idx="277">
                  <c:v>44964</c:v>
                </c:pt>
                <c:pt idx="278">
                  <c:v>44965</c:v>
                </c:pt>
                <c:pt idx="279">
                  <c:v>44966</c:v>
                </c:pt>
                <c:pt idx="280">
                  <c:v>44967</c:v>
                </c:pt>
                <c:pt idx="281">
                  <c:v>44970</c:v>
                </c:pt>
                <c:pt idx="282">
                  <c:v>44971</c:v>
                </c:pt>
                <c:pt idx="283">
                  <c:v>44972</c:v>
                </c:pt>
                <c:pt idx="284">
                  <c:v>44973</c:v>
                </c:pt>
                <c:pt idx="285">
                  <c:v>44974</c:v>
                </c:pt>
                <c:pt idx="286">
                  <c:v>44979</c:v>
                </c:pt>
                <c:pt idx="287">
                  <c:v>44980</c:v>
                </c:pt>
                <c:pt idx="288">
                  <c:v>44981</c:v>
                </c:pt>
                <c:pt idx="289">
                  <c:v>44984</c:v>
                </c:pt>
                <c:pt idx="290">
                  <c:v>44985</c:v>
                </c:pt>
                <c:pt idx="291">
                  <c:v>44986</c:v>
                </c:pt>
                <c:pt idx="292">
                  <c:v>44987</c:v>
                </c:pt>
                <c:pt idx="293">
                  <c:v>44988</c:v>
                </c:pt>
                <c:pt idx="294">
                  <c:v>44991</c:v>
                </c:pt>
                <c:pt idx="295">
                  <c:v>44992</c:v>
                </c:pt>
                <c:pt idx="296">
                  <c:v>44993</c:v>
                </c:pt>
                <c:pt idx="297">
                  <c:v>44994</c:v>
                </c:pt>
                <c:pt idx="298">
                  <c:v>44995</c:v>
                </c:pt>
                <c:pt idx="299">
                  <c:v>44998</c:v>
                </c:pt>
                <c:pt idx="300">
                  <c:v>44999</c:v>
                </c:pt>
                <c:pt idx="301">
                  <c:v>45000</c:v>
                </c:pt>
                <c:pt idx="302">
                  <c:v>45001</c:v>
                </c:pt>
                <c:pt idx="303">
                  <c:v>45002</c:v>
                </c:pt>
                <c:pt idx="304">
                  <c:v>45005</c:v>
                </c:pt>
              </c:numCache>
            </c:numRef>
          </c:cat>
          <c:val>
            <c:numRef>
              <c:f>'Exp Annual'!$F$4:$F$461</c:f>
              <c:numCache>
                <c:formatCode>General</c:formatCode>
                <c:ptCount val="458"/>
                <c:pt idx="0">
                  <c:v>3.5</c:v>
                </c:pt>
                <c:pt idx="1">
                  <c:v>3.31</c:v>
                </c:pt>
                <c:pt idx="2">
                  <c:v>3.3</c:v>
                </c:pt>
                <c:pt idx="3">
                  <c:v>3.2696000000000001</c:v>
                </c:pt>
                <c:pt idx="4">
                  <c:v>3.3086000000000002</c:v>
                </c:pt>
                <c:pt idx="5">
                  <c:v>3.3441999999999998</c:v>
                </c:pt>
                <c:pt idx="6">
                  <c:v>3.3</c:v>
                </c:pt>
                <c:pt idx="7">
                  <c:v>3.3</c:v>
                </c:pt>
                <c:pt idx="8">
                  <c:v>3.3</c:v>
                </c:pt>
                <c:pt idx="9">
                  <c:v>3.3</c:v>
                </c:pt>
                <c:pt idx="10">
                  <c:v>3.3</c:v>
                </c:pt>
                <c:pt idx="11">
                  <c:v>3.33</c:v>
                </c:pt>
                <c:pt idx="12">
                  <c:v>3.33</c:v>
                </c:pt>
                <c:pt idx="13">
                  <c:v>3.335</c:v>
                </c:pt>
                <c:pt idx="14">
                  <c:v>3.4249999999999998</c:v>
                </c:pt>
                <c:pt idx="15">
                  <c:v>3.4632999999999998</c:v>
                </c:pt>
                <c:pt idx="16">
                  <c:v>3.4836999999999998</c:v>
                </c:pt>
                <c:pt idx="17">
                  <c:v>3.4836999999999998</c:v>
                </c:pt>
                <c:pt idx="18">
                  <c:v>3.4836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3.5</c:v>
                </c:pt>
                <c:pt idx="23">
                  <c:v>3.5044</c:v>
                </c:pt>
                <c:pt idx="24">
                  <c:v>3.5</c:v>
                </c:pt>
                <c:pt idx="25">
                  <c:v>3.4220999999999999</c:v>
                </c:pt>
                <c:pt idx="26">
                  <c:v>3.448</c:v>
                </c:pt>
                <c:pt idx="27">
                  <c:v>3.4529999999999998</c:v>
                </c:pt>
                <c:pt idx="28">
                  <c:v>3.4529999999999998</c:v>
                </c:pt>
                <c:pt idx="29">
                  <c:v>3.5</c:v>
                </c:pt>
                <c:pt idx="30">
                  <c:v>3.5038999999999998</c:v>
                </c:pt>
                <c:pt idx="31">
                  <c:v>3.504</c:v>
                </c:pt>
                <c:pt idx="32">
                  <c:v>3.5144000000000002</c:v>
                </c:pt>
                <c:pt idx="33">
                  <c:v>3.5148000000000001</c:v>
                </c:pt>
                <c:pt idx="34">
                  <c:v>3.5148000000000001</c:v>
                </c:pt>
                <c:pt idx="35">
                  <c:v>3.5194000000000001</c:v>
                </c:pt>
                <c:pt idx="36">
                  <c:v>3.5251999999999999</c:v>
                </c:pt>
                <c:pt idx="37">
                  <c:v>3.5236000000000001</c:v>
                </c:pt>
                <c:pt idx="38">
                  <c:v>3.5194000000000001</c:v>
                </c:pt>
                <c:pt idx="39">
                  <c:v>3.5665</c:v>
                </c:pt>
                <c:pt idx="40">
                  <c:v>3.5417999999999998</c:v>
                </c:pt>
                <c:pt idx="41">
                  <c:v>3.5038999999999998</c:v>
                </c:pt>
                <c:pt idx="42">
                  <c:v>3.5</c:v>
                </c:pt>
                <c:pt idx="43">
                  <c:v>3.5</c:v>
                </c:pt>
                <c:pt idx="44">
                  <c:v>3.5043000000000002</c:v>
                </c:pt>
                <c:pt idx="45">
                  <c:v>3.6</c:v>
                </c:pt>
                <c:pt idx="46">
                  <c:v>3.61</c:v>
                </c:pt>
                <c:pt idx="47">
                  <c:v>3.7204000000000002</c:v>
                </c:pt>
                <c:pt idx="48">
                  <c:v>3.7406000000000001</c:v>
                </c:pt>
                <c:pt idx="49">
                  <c:v>3.726</c:v>
                </c:pt>
                <c:pt idx="50">
                  <c:v>3.7208000000000001</c:v>
                </c:pt>
                <c:pt idx="51">
                  <c:v>3.75</c:v>
                </c:pt>
                <c:pt idx="52">
                  <c:v>3.7521</c:v>
                </c:pt>
                <c:pt idx="53">
                  <c:v>3.7521</c:v>
                </c:pt>
                <c:pt idx="54">
                  <c:v>3.7521</c:v>
                </c:pt>
                <c:pt idx="55">
                  <c:v>3.7511000000000001</c:v>
                </c:pt>
                <c:pt idx="56">
                  <c:v>3.75</c:v>
                </c:pt>
                <c:pt idx="57">
                  <c:v>3.9</c:v>
                </c:pt>
                <c:pt idx="58">
                  <c:v>3.9039999999999999</c:v>
                </c:pt>
                <c:pt idx="59">
                  <c:v>3.9039999999999999</c:v>
                </c:pt>
                <c:pt idx="60">
                  <c:v>3.9039999999999999</c:v>
                </c:pt>
                <c:pt idx="61">
                  <c:v>3.9638</c:v>
                </c:pt>
                <c:pt idx="62">
                  <c:v>3.9</c:v>
                </c:pt>
                <c:pt idx="63">
                  <c:v>3.95</c:v>
                </c:pt>
                <c:pt idx="64">
                  <c:v>4.0007000000000001</c:v>
                </c:pt>
                <c:pt idx="65">
                  <c:v>4.0003000000000002</c:v>
                </c:pt>
                <c:pt idx="66">
                  <c:v>3.9851999999999999</c:v>
                </c:pt>
                <c:pt idx="67">
                  <c:v>3.9998999999999998</c:v>
                </c:pt>
                <c:pt idx="68">
                  <c:v>4.0004</c:v>
                </c:pt>
                <c:pt idx="69">
                  <c:v>4</c:v>
                </c:pt>
                <c:pt idx="70">
                  <c:v>4.0110999999999999</c:v>
                </c:pt>
                <c:pt idx="71">
                  <c:v>4.0476000000000001</c:v>
                </c:pt>
                <c:pt idx="72">
                  <c:v>4.0919999999999996</c:v>
                </c:pt>
                <c:pt idx="73">
                  <c:v>4</c:v>
                </c:pt>
                <c:pt idx="74">
                  <c:v>4.0004</c:v>
                </c:pt>
                <c:pt idx="75">
                  <c:v>4.0007999999999999</c:v>
                </c:pt>
                <c:pt idx="76">
                  <c:v>4.0007000000000001</c:v>
                </c:pt>
                <c:pt idx="77">
                  <c:v>4.0007000000000001</c:v>
                </c:pt>
                <c:pt idx="78">
                  <c:v>4.0014000000000003</c:v>
                </c:pt>
                <c:pt idx="79">
                  <c:v>4.0014000000000003</c:v>
                </c:pt>
                <c:pt idx="80">
                  <c:v>4.12</c:v>
                </c:pt>
                <c:pt idx="81">
                  <c:v>4.1722999999999999</c:v>
                </c:pt>
                <c:pt idx="82">
                  <c:v>4.1722999999999999</c:v>
                </c:pt>
                <c:pt idx="83">
                  <c:v>4.1825999999999999</c:v>
                </c:pt>
                <c:pt idx="84">
                  <c:v>4.1981000000000002</c:v>
                </c:pt>
                <c:pt idx="85">
                  <c:v>4.2088000000000001</c:v>
                </c:pt>
                <c:pt idx="86">
                  <c:v>4.2462999999999997</c:v>
                </c:pt>
                <c:pt idx="87">
                  <c:v>4.2</c:v>
                </c:pt>
                <c:pt idx="88">
                  <c:v>4.2</c:v>
                </c:pt>
                <c:pt idx="89">
                  <c:v>4.2088000000000001</c:v>
                </c:pt>
                <c:pt idx="90">
                  <c:v>4.2759</c:v>
                </c:pt>
                <c:pt idx="91">
                  <c:v>4.2942</c:v>
                </c:pt>
                <c:pt idx="92">
                  <c:v>4.3228</c:v>
                </c:pt>
                <c:pt idx="93">
                  <c:v>4.3228</c:v>
                </c:pt>
                <c:pt idx="94">
                  <c:v>4.3</c:v>
                </c:pt>
                <c:pt idx="95">
                  <c:v>4.3331</c:v>
                </c:pt>
                <c:pt idx="96">
                  <c:v>4.3419999999999996</c:v>
                </c:pt>
                <c:pt idx="97">
                  <c:v>4.3539000000000003</c:v>
                </c:pt>
                <c:pt idx="98">
                  <c:v>4.3757999999999999</c:v>
                </c:pt>
                <c:pt idx="99">
                  <c:v>4.3757999999999999</c:v>
                </c:pt>
                <c:pt idx="100">
                  <c:v>4.5</c:v>
                </c:pt>
                <c:pt idx="101">
                  <c:v>4.5</c:v>
                </c:pt>
                <c:pt idx="102">
                  <c:v>4.5</c:v>
                </c:pt>
                <c:pt idx="103">
                  <c:v>4.4000000000000004</c:v>
                </c:pt>
                <c:pt idx="104">
                  <c:v>4.4489000000000001</c:v>
                </c:pt>
                <c:pt idx="105">
                  <c:v>4.4977999999999998</c:v>
                </c:pt>
                <c:pt idx="106">
                  <c:v>4.5</c:v>
                </c:pt>
                <c:pt idx="107">
                  <c:v>4.5</c:v>
                </c:pt>
                <c:pt idx="108">
                  <c:v>4.6500000000000004</c:v>
                </c:pt>
                <c:pt idx="109">
                  <c:v>4.51</c:v>
                </c:pt>
                <c:pt idx="110">
                  <c:v>4.8002000000000002</c:v>
                </c:pt>
                <c:pt idx="111">
                  <c:v>4.8002000000000002</c:v>
                </c:pt>
                <c:pt idx="112">
                  <c:v>4.8201000000000001</c:v>
                </c:pt>
                <c:pt idx="113">
                  <c:v>4.8550000000000004</c:v>
                </c:pt>
                <c:pt idx="114">
                  <c:v>4.9546999999999999</c:v>
                </c:pt>
                <c:pt idx="115">
                  <c:v>5</c:v>
                </c:pt>
                <c:pt idx="116">
                  <c:v>4.9774000000000003</c:v>
                </c:pt>
                <c:pt idx="117">
                  <c:v>4.9000000000000004</c:v>
                </c:pt>
                <c:pt idx="118">
                  <c:v>4.9000000000000004</c:v>
                </c:pt>
                <c:pt idx="119">
                  <c:v>5</c:v>
                </c:pt>
                <c:pt idx="120">
                  <c:v>5.0087000000000002</c:v>
                </c:pt>
                <c:pt idx="121">
                  <c:v>5.0044000000000004</c:v>
                </c:pt>
                <c:pt idx="122">
                  <c:v>5.0087000000000002</c:v>
                </c:pt>
                <c:pt idx="123">
                  <c:v>5.0186999999999999</c:v>
                </c:pt>
                <c:pt idx="124">
                  <c:v>5.0106000000000002</c:v>
                </c:pt>
                <c:pt idx="125">
                  <c:v>5.3</c:v>
                </c:pt>
                <c:pt idx="126">
                  <c:v>5.3268000000000004</c:v>
                </c:pt>
                <c:pt idx="127">
                  <c:v>5.2816000000000001</c:v>
                </c:pt>
                <c:pt idx="128">
                  <c:v>5.2549999999999999</c:v>
                </c:pt>
                <c:pt idx="129">
                  <c:v>5.2</c:v>
                </c:pt>
                <c:pt idx="130">
                  <c:v>5.15</c:v>
                </c:pt>
                <c:pt idx="131">
                  <c:v>5.0792999999999999</c:v>
                </c:pt>
                <c:pt idx="132">
                  <c:v>5.0719000000000003</c:v>
                </c:pt>
                <c:pt idx="133">
                  <c:v>5.1325000000000003</c:v>
                </c:pt>
                <c:pt idx="134">
                  <c:v>5.1150000000000002</c:v>
                </c:pt>
                <c:pt idx="135">
                  <c:v>5.0944000000000003</c:v>
                </c:pt>
                <c:pt idx="136">
                  <c:v>5.1524999999999999</c:v>
                </c:pt>
                <c:pt idx="137">
                  <c:v>5.2954999999999997</c:v>
                </c:pt>
                <c:pt idx="138">
                  <c:v>5.2908999999999997</c:v>
                </c:pt>
                <c:pt idx="139">
                  <c:v>5.3000999999999996</c:v>
                </c:pt>
                <c:pt idx="140">
                  <c:v>5.3064999999999998</c:v>
                </c:pt>
                <c:pt idx="141">
                  <c:v>5.3205999999999998</c:v>
                </c:pt>
                <c:pt idx="142">
                  <c:v>5.3212000000000002</c:v>
                </c:pt>
                <c:pt idx="143">
                  <c:v>5.32</c:v>
                </c:pt>
                <c:pt idx="144">
                  <c:v>5.32</c:v>
                </c:pt>
                <c:pt idx="145">
                  <c:v>5.3205999999999998</c:v>
                </c:pt>
                <c:pt idx="146">
                  <c:v>5.3164999999999996</c:v>
                </c:pt>
                <c:pt idx="147">
                  <c:v>5.3205999999999998</c:v>
                </c:pt>
                <c:pt idx="148">
                  <c:v>5.3827999999999996</c:v>
                </c:pt>
                <c:pt idx="149">
                  <c:v>5.3667999999999996</c:v>
                </c:pt>
                <c:pt idx="150">
                  <c:v>5.4156000000000004</c:v>
                </c:pt>
                <c:pt idx="151">
                  <c:v>5.4115000000000002</c:v>
                </c:pt>
                <c:pt idx="152">
                  <c:v>5.4</c:v>
                </c:pt>
                <c:pt idx="153">
                  <c:v>5.3334999999999999</c:v>
                </c:pt>
                <c:pt idx="154">
                  <c:v>5.3356000000000003</c:v>
                </c:pt>
                <c:pt idx="155">
                  <c:v>5.3356000000000003</c:v>
                </c:pt>
                <c:pt idx="156">
                  <c:v>5.3667999999999996</c:v>
                </c:pt>
                <c:pt idx="157">
                  <c:v>5.3529</c:v>
                </c:pt>
                <c:pt idx="158">
                  <c:v>5.37</c:v>
                </c:pt>
                <c:pt idx="159">
                  <c:v>5.3</c:v>
                </c:pt>
                <c:pt idx="160">
                  <c:v>5.3</c:v>
                </c:pt>
                <c:pt idx="161">
                  <c:v>5.3</c:v>
                </c:pt>
                <c:pt idx="162">
                  <c:v>5.3</c:v>
                </c:pt>
                <c:pt idx="163">
                  <c:v>5.3</c:v>
                </c:pt>
                <c:pt idx="164">
                  <c:v>5.3437999999999999</c:v>
                </c:pt>
                <c:pt idx="165">
                  <c:v>5.3</c:v>
                </c:pt>
                <c:pt idx="166">
                  <c:v>5.28</c:v>
                </c:pt>
                <c:pt idx="167">
                  <c:v>5.3</c:v>
                </c:pt>
                <c:pt idx="168">
                  <c:v>5.2805</c:v>
                </c:pt>
                <c:pt idx="169">
                  <c:v>5.0936000000000003</c:v>
                </c:pt>
                <c:pt idx="170">
                  <c:v>5.1135000000000002</c:v>
                </c:pt>
                <c:pt idx="171">
                  <c:v>5.1363000000000003</c:v>
                </c:pt>
                <c:pt idx="172">
                  <c:v>5.0723000000000003</c:v>
                </c:pt>
                <c:pt idx="173">
                  <c:v>5.0526</c:v>
                </c:pt>
                <c:pt idx="174">
                  <c:v>5.0514999999999999</c:v>
                </c:pt>
                <c:pt idx="175">
                  <c:v>5.0148999999999999</c:v>
                </c:pt>
                <c:pt idx="176">
                  <c:v>5.0096999999999996</c:v>
                </c:pt>
                <c:pt idx="177">
                  <c:v>5.0049999999999999</c:v>
                </c:pt>
                <c:pt idx="178">
                  <c:v>5.0000999999999998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4.9987000000000004</c:v>
                </c:pt>
                <c:pt idx="184">
                  <c:v>4.9984000000000002</c:v>
                </c:pt>
                <c:pt idx="185">
                  <c:v>4.9984000000000002</c:v>
                </c:pt>
                <c:pt idx="186">
                  <c:v>4.9828999999999999</c:v>
                </c:pt>
                <c:pt idx="187">
                  <c:v>4.9828999999999999</c:v>
                </c:pt>
                <c:pt idx="188">
                  <c:v>4.9808000000000003</c:v>
                </c:pt>
                <c:pt idx="189">
                  <c:v>4.9718</c:v>
                </c:pt>
                <c:pt idx="190">
                  <c:v>4.9808000000000003</c:v>
                </c:pt>
                <c:pt idx="191">
                  <c:v>4.9808000000000003</c:v>
                </c:pt>
                <c:pt idx="192">
                  <c:v>4.9734999999999996</c:v>
                </c:pt>
                <c:pt idx="193">
                  <c:v>5</c:v>
                </c:pt>
                <c:pt idx="194">
                  <c:v>5.0049999999999999</c:v>
                </c:pt>
                <c:pt idx="195">
                  <c:v>4.9882</c:v>
                </c:pt>
                <c:pt idx="196">
                  <c:v>4.9695999999999998</c:v>
                </c:pt>
                <c:pt idx="197">
                  <c:v>4.931</c:v>
                </c:pt>
                <c:pt idx="198">
                  <c:v>4.9000000000000004</c:v>
                </c:pt>
                <c:pt idx="199">
                  <c:v>4.9000000000000004</c:v>
                </c:pt>
                <c:pt idx="200">
                  <c:v>4.9000000000000004</c:v>
                </c:pt>
                <c:pt idx="201">
                  <c:v>4.9028999999999998</c:v>
                </c:pt>
                <c:pt idx="202">
                  <c:v>4.9219999999999997</c:v>
                </c:pt>
                <c:pt idx="203">
                  <c:v>4.9374000000000002</c:v>
                </c:pt>
                <c:pt idx="204">
                  <c:v>4.9368999999999996</c:v>
                </c:pt>
                <c:pt idx="205">
                  <c:v>4.9427000000000003</c:v>
                </c:pt>
                <c:pt idx="206">
                  <c:v>4.9066000000000001</c:v>
                </c:pt>
                <c:pt idx="207">
                  <c:v>4.9686000000000003</c:v>
                </c:pt>
                <c:pt idx="208">
                  <c:v>4.9686000000000003</c:v>
                </c:pt>
                <c:pt idx="209">
                  <c:v>4.9686000000000003</c:v>
                </c:pt>
                <c:pt idx="210">
                  <c:v>4.9233000000000002</c:v>
                </c:pt>
                <c:pt idx="211">
                  <c:v>4.9400000000000004</c:v>
                </c:pt>
                <c:pt idx="212">
                  <c:v>4.9377000000000004</c:v>
                </c:pt>
                <c:pt idx="213">
                  <c:v>4.9210000000000003</c:v>
                </c:pt>
                <c:pt idx="214">
                  <c:v>4.9210000000000003</c:v>
                </c:pt>
                <c:pt idx="215">
                  <c:v>4.9210000000000003</c:v>
                </c:pt>
                <c:pt idx="216">
                  <c:v>4.9368999999999996</c:v>
                </c:pt>
                <c:pt idx="217">
                  <c:v>4.9471999999999996</c:v>
                </c:pt>
                <c:pt idx="218">
                  <c:v>4.95</c:v>
                </c:pt>
                <c:pt idx="219">
                  <c:v>4.9690000000000003</c:v>
                </c:pt>
                <c:pt idx="220">
                  <c:v>5.0107999999999997</c:v>
                </c:pt>
                <c:pt idx="221">
                  <c:v>5.0294999999999996</c:v>
                </c:pt>
                <c:pt idx="222">
                  <c:v>5.0414000000000003</c:v>
                </c:pt>
                <c:pt idx="223">
                  <c:v>5.0518000000000001</c:v>
                </c:pt>
                <c:pt idx="224">
                  <c:v>5.0312999999999999</c:v>
                </c:pt>
                <c:pt idx="225">
                  <c:v>5</c:v>
                </c:pt>
                <c:pt idx="226">
                  <c:v>5.0147000000000004</c:v>
                </c:pt>
                <c:pt idx="227">
                  <c:v>5.0147000000000004</c:v>
                </c:pt>
                <c:pt idx="228">
                  <c:v>5.0107999999999997</c:v>
                </c:pt>
                <c:pt idx="229">
                  <c:v>5</c:v>
                </c:pt>
                <c:pt idx="230">
                  <c:v>5.1052999999999997</c:v>
                </c:pt>
                <c:pt idx="231">
                  <c:v>5.1508000000000003</c:v>
                </c:pt>
                <c:pt idx="232">
                  <c:v>5.1153000000000004</c:v>
                </c:pt>
                <c:pt idx="233">
                  <c:v>5.1052999999999997</c:v>
                </c:pt>
                <c:pt idx="234">
                  <c:v>5.1052</c:v>
                </c:pt>
                <c:pt idx="235">
                  <c:v>5.0496999999999996</c:v>
                </c:pt>
                <c:pt idx="236">
                  <c:v>5.0303000000000004</c:v>
                </c:pt>
                <c:pt idx="237">
                  <c:v>5.0003000000000002</c:v>
                </c:pt>
                <c:pt idx="238">
                  <c:v>5.0107999999999997</c:v>
                </c:pt>
                <c:pt idx="239">
                  <c:v>5.0616000000000003</c:v>
                </c:pt>
                <c:pt idx="240">
                  <c:v>5.1205999999999996</c:v>
                </c:pt>
                <c:pt idx="241">
                  <c:v>5.1890000000000001</c:v>
                </c:pt>
                <c:pt idx="242">
                  <c:v>5.2</c:v>
                </c:pt>
                <c:pt idx="243">
                  <c:v>5.2</c:v>
                </c:pt>
                <c:pt idx="244">
                  <c:v>5.2</c:v>
                </c:pt>
                <c:pt idx="245">
                  <c:v>5.2436999999999996</c:v>
                </c:pt>
                <c:pt idx="246">
                  <c:v>5.2720000000000002</c:v>
                </c:pt>
                <c:pt idx="247">
                  <c:v>5.2820999999999998</c:v>
                </c:pt>
                <c:pt idx="248">
                  <c:v>5.3345000000000002</c:v>
                </c:pt>
                <c:pt idx="249">
                  <c:v>5.3921999999999999</c:v>
                </c:pt>
                <c:pt idx="250">
                  <c:v>5.4488000000000003</c:v>
                </c:pt>
                <c:pt idx="251">
                  <c:v>5.4630999999999998</c:v>
                </c:pt>
                <c:pt idx="252">
                  <c:v>5.4488000000000003</c:v>
                </c:pt>
                <c:pt idx="253">
                  <c:v>5.3970000000000002</c:v>
                </c:pt>
                <c:pt idx="254">
                  <c:v>5.4244000000000003</c:v>
                </c:pt>
                <c:pt idx="255">
                  <c:v>5.4774000000000003</c:v>
                </c:pt>
                <c:pt idx="256">
                  <c:v>5.4188999999999998</c:v>
                </c:pt>
                <c:pt idx="257">
                  <c:v>5.4785000000000004</c:v>
                </c:pt>
                <c:pt idx="258">
                  <c:v>5.4795999999999996</c:v>
                </c:pt>
                <c:pt idx="259">
                  <c:v>5.4481999999999999</c:v>
                </c:pt>
                <c:pt idx="260">
                  <c:v>5.3967000000000001</c:v>
                </c:pt>
                <c:pt idx="261">
                  <c:v>5.4695</c:v>
                </c:pt>
                <c:pt idx="262">
                  <c:v>5.5162000000000004</c:v>
                </c:pt>
                <c:pt idx="263">
                  <c:v>5.5453999999999999</c:v>
                </c:pt>
                <c:pt idx="264">
                  <c:v>5.5</c:v>
                </c:pt>
                <c:pt idx="265">
                  <c:v>5.4911000000000003</c:v>
                </c:pt>
                <c:pt idx="266">
                  <c:v>5.5</c:v>
                </c:pt>
                <c:pt idx="267">
                  <c:v>5.5000999999999998</c:v>
                </c:pt>
                <c:pt idx="268">
                  <c:v>5.5228999999999999</c:v>
                </c:pt>
                <c:pt idx="269">
                  <c:v>5.5282999999999998</c:v>
                </c:pt>
                <c:pt idx="270">
                  <c:v>5.8</c:v>
                </c:pt>
                <c:pt idx="271">
                  <c:v>5.8</c:v>
                </c:pt>
                <c:pt idx="272">
                  <c:v>5.8</c:v>
                </c:pt>
                <c:pt idx="273">
                  <c:v>5.8385999999999996</c:v>
                </c:pt>
                <c:pt idx="274">
                  <c:v>5.8587999999999996</c:v>
                </c:pt>
                <c:pt idx="275">
                  <c:v>5.7779999999999996</c:v>
                </c:pt>
                <c:pt idx="276">
                  <c:v>5.7759</c:v>
                </c:pt>
                <c:pt idx="277">
                  <c:v>5.7758000000000003</c:v>
                </c:pt>
                <c:pt idx="278">
                  <c:v>5.7976999999999999</c:v>
                </c:pt>
                <c:pt idx="279">
                  <c:v>5.8</c:v>
                </c:pt>
                <c:pt idx="280">
                  <c:v>5.7742000000000004</c:v>
                </c:pt>
                <c:pt idx="281">
                  <c:v>5.7698999999999998</c:v>
                </c:pt>
                <c:pt idx="282">
                  <c:v>5.7743000000000002</c:v>
                </c:pt>
                <c:pt idx="283">
                  <c:v>5.7853000000000003</c:v>
                </c:pt>
                <c:pt idx="284">
                  <c:v>5.8182</c:v>
                </c:pt>
                <c:pt idx="285">
                  <c:v>5.97</c:v>
                </c:pt>
                <c:pt idx="286">
                  <c:v>5.96</c:v>
                </c:pt>
                <c:pt idx="287">
                  <c:v>5.9554999999999998</c:v>
                </c:pt>
                <c:pt idx="288">
                  <c:v>5.9344999999999999</c:v>
                </c:pt>
                <c:pt idx="289">
                  <c:v>5.9345999999999997</c:v>
                </c:pt>
                <c:pt idx="290">
                  <c:v>5.9</c:v>
                </c:pt>
                <c:pt idx="291">
                  <c:v>5.8478000000000003</c:v>
                </c:pt>
                <c:pt idx="292">
                  <c:v>5.8288000000000002</c:v>
                </c:pt>
                <c:pt idx="293">
                  <c:v>5.9116999999999997</c:v>
                </c:pt>
                <c:pt idx="294">
                  <c:v>5.9013</c:v>
                </c:pt>
                <c:pt idx="295">
                  <c:v>5.9013</c:v>
                </c:pt>
                <c:pt idx="296">
                  <c:v>5.8906999999999998</c:v>
                </c:pt>
                <c:pt idx="297">
                  <c:v>5.9071999999999996</c:v>
                </c:pt>
                <c:pt idx="298">
                  <c:v>5.9021999999999997</c:v>
                </c:pt>
                <c:pt idx="299">
                  <c:v>5.9021999999999997</c:v>
                </c:pt>
                <c:pt idx="300">
                  <c:v>5.9010999999999996</c:v>
                </c:pt>
                <c:pt idx="301">
                  <c:v>5.9127999999999998</c:v>
                </c:pt>
                <c:pt idx="302">
                  <c:v>5.9127999999999998</c:v>
                </c:pt>
                <c:pt idx="303">
                  <c:v>5.9759000000000002</c:v>
                </c:pt>
                <c:pt idx="304">
                  <c:v>5.9752999999999998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78-49E6-9275-08E68CAC80C3}"/>
            </c:ext>
          </c:extLst>
        </c:ser>
        <c:ser>
          <c:idx val="3"/>
          <c:order val="2"/>
          <c:tx>
            <c:strRef>
              <c:f>'Exp Annual'!$G$3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'Exp Annual'!$D$4:$D$461</c:f>
              <c:numCache>
                <c:formatCode>m/d/yyyy</c:formatCode>
                <c:ptCount val="458"/>
                <c:pt idx="0">
                  <c:v>44564</c:v>
                </c:pt>
                <c:pt idx="1">
                  <c:v>44565</c:v>
                </c:pt>
                <c:pt idx="2">
                  <c:v>44566</c:v>
                </c:pt>
                <c:pt idx="3">
                  <c:v>44567</c:v>
                </c:pt>
                <c:pt idx="4">
                  <c:v>44568</c:v>
                </c:pt>
                <c:pt idx="5">
                  <c:v>44571</c:v>
                </c:pt>
                <c:pt idx="6">
                  <c:v>44572</c:v>
                </c:pt>
                <c:pt idx="7">
                  <c:v>44573</c:v>
                </c:pt>
                <c:pt idx="8">
                  <c:v>44574</c:v>
                </c:pt>
                <c:pt idx="9">
                  <c:v>44575</c:v>
                </c:pt>
                <c:pt idx="10">
                  <c:v>44578</c:v>
                </c:pt>
                <c:pt idx="11">
                  <c:v>44579</c:v>
                </c:pt>
                <c:pt idx="12">
                  <c:v>44580</c:v>
                </c:pt>
                <c:pt idx="13">
                  <c:v>44581</c:v>
                </c:pt>
                <c:pt idx="14">
                  <c:v>44582</c:v>
                </c:pt>
                <c:pt idx="15">
                  <c:v>44585</c:v>
                </c:pt>
                <c:pt idx="16">
                  <c:v>44586</c:v>
                </c:pt>
                <c:pt idx="17">
                  <c:v>44587</c:v>
                </c:pt>
                <c:pt idx="18">
                  <c:v>44588</c:v>
                </c:pt>
                <c:pt idx="19">
                  <c:v>44589</c:v>
                </c:pt>
                <c:pt idx="20">
                  <c:v>44592</c:v>
                </c:pt>
                <c:pt idx="21">
                  <c:v>44593</c:v>
                </c:pt>
                <c:pt idx="22">
                  <c:v>44594</c:v>
                </c:pt>
                <c:pt idx="23">
                  <c:v>44595</c:v>
                </c:pt>
                <c:pt idx="24">
                  <c:v>44596</c:v>
                </c:pt>
                <c:pt idx="25">
                  <c:v>44599</c:v>
                </c:pt>
                <c:pt idx="26">
                  <c:v>44600</c:v>
                </c:pt>
                <c:pt idx="27">
                  <c:v>44601</c:v>
                </c:pt>
                <c:pt idx="28">
                  <c:v>44602</c:v>
                </c:pt>
                <c:pt idx="29">
                  <c:v>44603</c:v>
                </c:pt>
                <c:pt idx="30">
                  <c:v>44606</c:v>
                </c:pt>
                <c:pt idx="31">
                  <c:v>44607</c:v>
                </c:pt>
                <c:pt idx="32">
                  <c:v>44608</c:v>
                </c:pt>
                <c:pt idx="33">
                  <c:v>44609</c:v>
                </c:pt>
                <c:pt idx="34">
                  <c:v>44610</c:v>
                </c:pt>
                <c:pt idx="35">
                  <c:v>44613</c:v>
                </c:pt>
                <c:pt idx="36">
                  <c:v>44614</c:v>
                </c:pt>
                <c:pt idx="37">
                  <c:v>44615</c:v>
                </c:pt>
                <c:pt idx="38">
                  <c:v>44616</c:v>
                </c:pt>
                <c:pt idx="39">
                  <c:v>44617</c:v>
                </c:pt>
                <c:pt idx="40">
                  <c:v>44622</c:v>
                </c:pt>
                <c:pt idx="41">
                  <c:v>44623</c:v>
                </c:pt>
                <c:pt idx="42">
                  <c:v>44624</c:v>
                </c:pt>
                <c:pt idx="43">
                  <c:v>44627</c:v>
                </c:pt>
                <c:pt idx="44">
                  <c:v>44628</c:v>
                </c:pt>
                <c:pt idx="45">
                  <c:v>44629</c:v>
                </c:pt>
                <c:pt idx="46">
                  <c:v>44630</c:v>
                </c:pt>
                <c:pt idx="47">
                  <c:v>44631</c:v>
                </c:pt>
                <c:pt idx="48">
                  <c:v>44634</c:v>
                </c:pt>
                <c:pt idx="49">
                  <c:v>44635</c:v>
                </c:pt>
                <c:pt idx="50">
                  <c:v>44636</c:v>
                </c:pt>
                <c:pt idx="51">
                  <c:v>44637</c:v>
                </c:pt>
                <c:pt idx="52">
                  <c:v>44638</c:v>
                </c:pt>
                <c:pt idx="53">
                  <c:v>44641</c:v>
                </c:pt>
                <c:pt idx="54">
                  <c:v>44642</c:v>
                </c:pt>
                <c:pt idx="55">
                  <c:v>44643</c:v>
                </c:pt>
                <c:pt idx="56">
                  <c:v>44644</c:v>
                </c:pt>
                <c:pt idx="57">
                  <c:v>44645</c:v>
                </c:pt>
                <c:pt idx="58">
                  <c:v>44648</c:v>
                </c:pt>
                <c:pt idx="59">
                  <c:v>44649</c:v>
                </c:pt>
                <c:pt idx="60">
                  <c:v>44650</c:v>
                </c:pt>
                <c:pt idx="61">
                  <c:v>44651</c:v>
                </c:pt>
                <c:pt idx="62">
                  <c:v>44652</c:v>
                </c:pt>
                <c:pt idx="63">
                  <c:v>44655</c:v>
                </c:pt>
                <c:pt idx="64">
                  <c:v>44656</c:v>
                </c:pt>
                <c:pt idx="65">
                  <c:v>44657</c:v>
                </c:pt>
                <c:pt idx="66">
                  <c:v>44658</c:v>
                </c:pt>
                <c:pt idx="67">
                  <c:v>44659</c:v>
                </c:pt>
                <c:pt idx="68">
                  <c:v>44662</c:v>
                </c:pt>
                <c:pt idx="69">
                  <c:v>44663</c:v>
                </c:pt>
                <c:pt idx="70">
                  <c:v>44664</c:v>
                </c:pt>
                <c:pt idx="71">
                  <c:v>44665</c:v>
                </c:pt>
                <c:pt idx="72">
                  <c:v>44669</c:v>
                </c:pt>
                <c:pt idx="73">
                  <c:v>44670</c:v>
                </c:pt>
                <c:pt idx="74">
                  <c:v>44671</c:v>
                </c:pt>
                <c:pt idx="75">
                  <c:v>44673</c:v>
                </c:pt>
                <c:pt idx="76">
                  <c:v>44676</c:v>
                </c:pt>
                <c:pt idx="77">
                  <c:v>44677</c:v>
                </c:pt>
                <c:pt idx="78">
                  <c:v>44678</c:v>
                </c:pt>
                <c:pt idx="79">
                  <c:v>44679</c:v>
                </c:pt>
                <c:pt idx="80">
                  <c:v>44680</c:v>
                </c:pt>
                <c:pt idx="81">
                  <c:v>44683</c:v>
                </c:pt>
                <c:pt idx="82">
                  <c:v>44684</c:v>
                </c:pt>
                <c:pt idx="83">
                  <c:v>44685</c:v>
                </c:pt>
                <c:pt idx="84">
                  <c:v>44686</c:v>
                </c:pt>
                <c:pt idx="85">
                  <c:v>44687</c:v>
                </c:pt>
                <c:pt idx="86">
                  <c:v>44690</c:v>
                </c:pt>
                <c:pt idx="87">
                  <c:v>44691</c:v>
                </c:pt>
                <c:pt idx="88">
                  <c:v>44692</c:v>
                </c:pt>
                <c:pt idx="89">
                  <c:v>44693</c:v>
                </c:pt>
                <c:pt idx="90">
                  <c:v>44694</c:v>
                </c:pt>
                <c:pt idx="91">
                  <c:v>44697</c:v>
                </c:pt>
                <c:pt idx="92">
                  <c:v>44698</c:v>
                </c:pt>
                <c:pt idx="93">
                  <c:v>44699</c:v>
                </c:pt>
                <c:pt idx="94">
                  <c:v>44700</c:v>
                </c:pt>
                <c:pt idx="95">
                  <c:v>44701</c:v>
                </c:pt>
                <c:pt idx="96">
                  <c:v>44704</c:v>
                </c:pt>
                <c:pt idx="97">
                  <c:v>44705</c:v>
                </c:pt>
                <c:pt idx="98">
                  <c:v>44706</c:v>
                </c:pt>
                <c:pt idx="99">
                  <c:v>44707</c:v>
                </c:pt>
                <c:pt idx="100">
                  <c:v>44708</c:v>
                </c:pt>
                <c:pt idx="101">
                  <c:v>44711</c:v>
                </c:pt>
                <c:pt idx="102">
                  <c:v>44712</c:v>
                </c:pt>
                <c:pt idx="103">
                  <c:v>44713</c:v>
                </c:pt>
                <c:pt idx="104">
                  <c:v>44714</c:v>
                </c:pt>
                <c:pt idx="105">
                  <c:v>44715</c:v>
                </c:pt>
                <c:pt idx="106">
                  <c:v>44718</c:v>
                </c:pt>
                <c:pt idx="107">
                  <c:v>44719</c:v>
                </c:pt>
                <c:pt idx="108">
                  <c:v>44720</c:v>
                </c:pt>
                <c:pt idx="109">
                  <c:v>44721</c:v>
                </c:pt>
                <c:pt idx="110">
                  <c:v>44722</c:v>
                </c:pt>
                <c:pt idx="111">
                  <c:v>44725</c:v>
                </c:pt>
                <c:pt idx="112">
                  <c:v>44726</c:v>
                </c:pt>
                <c:pt idx="113">
                  <c:v>44727</c:v>
                </c:pt>
                <c:pt idx="114">
                  <c:v>44729</c:v>
                </c:pt>
                <c:pt idx="115">
                  <c:v>44732</c:v>
                </c:pt>
                <c:pt idx="116">
                  <c:v>44733</c:v>
                </c:pt>
                <c:pt idx="117">
                  <c:v>44734</c:v>
                </c:pt>
                <c:pt idx="118">
                  <c:v>44735</c:v>
                </c:pt>
                <c:pt idx="119">
                  <c:v>44736</c:v>
                </c:pt>
                <c:pt idx="120">
                  <c:v>44739</c:v>
                </c:pt>
                <c:pt idx="121">
                  <c:v>44740</c:v>
                </c:pt>
                <c:pt idx="122">
                  <c:v>44741</c:v>
                </c:pt>
                <c:pt idx="123">
                  <c:v>44742</c:v>
                </c:pt>
                <c:pt idx="124">
                  <c:v>44743</c:v>
                </c:pt>
                <c:pt idx="125">
                  <c:v>44746</c:v>
                </c:pt>
                <c:pt idx="126">
                  <c:v>44747</c:v>
                </c:pt>
                <c:pt idx="127">
                  <c:v>44748</c:v>
                </c:pt>
                <c:pt idx="128">
                  <c:v>44749</c:v>
                </c:pt>
                <c:pt idx="129">
                  <c:v>44750</c:v>
                </c:pt>
                <c:pt idx="130">
                  <c:v>44753</c:v>
                </c:pt>
                <c:pt idx="131">
                  <c:v>44754</c:v>
                </c:pt>
                <c:pt idx="132">
                  <c:v>44755</c:v>
                </c:pt>
                <c:pt idx="133">
                  <c:v>44756</c:v>
                </c:pt>
                <c:pt idx="134">
                  <c:v>44757</c:v>
                </c:pt>
                <c:pt idx="135">
                  <c:v>44760</c:v>
                </c:pt>
                <c:pt idx="136">
                  <c:v>44761</c:v>
                </c:pt>
                <c:pt idx="137">
                  <c:v>44762</c:v>
                </c:pt>
                <c:pt idx="138">
                  <c:v>44763</c:v>
                </c:pt>
                <c:pt idx="139">
                  <c:v>44764</c:v>
                </c:pt>
                <c:pt idx="140">
                  <c:v>44767</c:v>
                </c:pt>
                <c:pt idx="141">
                  <c:v>44768</c:v>
                </c:pt>
                <c:pt idx="142">
                  <c:v>44769</c:v>
                </c:pt>
                <c:pt idx="143">
                  <c:v>44770</c:v>
                </c:pt>
                <c:pt idx="144">
                  <c:v>44771</c:v>
                </c:pt>
                <c:pt idx="145">
                  <c:v>44774</c:v>
                </c:pt>
                <c:pt idx="146">
                  <c:v>44775</c:v>
                </c:pt>
                <c:pt idx="147">
                  <c:v>44776</c:v>
                </c:pt>
                <c:pt idx="148">
                  <c:v>44777</c:v>
                </c:pt>
                <c:pt idx="149">
                  <c:v>44778</c:v>
                </c:pt>
                <c:pt idx="150">
                  <c:v>44781</c:v>
                </c:pt>
                <c:pt idx="151">
                  <c:v>44782</c:v>
                </c:pt>
                <c:pt idx="152">
                  <c:v>44783</c:v>
                </c:pt>
                <c:pt idx="153">
                  <c:v>44784</c:v>
                </c:pt>
                <c:pt idx="154">
                  <c:v>44785</c:v>
                </c:pt>
                <c:pt idx="155">
                  <c:v>44788</c:v>
                </c:pt>
                <c:pt idx="156">
                  <c:v>44789</c:v>
                </c:pt>
                <c:pt idx="157">
                  <c:v>44790</c:v>
                </c:pt>
                <c:pt idx="158">
                  <c:v>44791</c:v>
                </c:pt>
                <c:pt idx="159">
                  <c:v>44792</c:v>
                </c:pt>
                <c:pt idx="160">
                  <c:v>44795</c:v>
                </c:pt>
                <c:pt idx="161">
                  <c:v>44796</c:v>
                </c:pt>
                <c:pt idx="162">
                  <c:v>44797</c:v>
                </c:pt>
                <c:pt idx="163">
                  <c:v>44798</c:v>
                </c:pt>
                <c:pt idx="164">
                  <c:v>44799</c:v>
                </c:pt>
                <c:pt idx="165">
                  <c:v>44802</c:v>
                </c:pt>
                <c:pt idx="166">
                  <c:v>44803</c:v>
                </c:pt>
                <c:pt idx="167">
                  <c:v>44804</c:v>
                </c:pt>
                <c:pt idx="168">
                  <c:v>44805</c:v>
                </c:pt>
                <c:pt idx="169">
                  <c:v>44806</c:v>
                </c:pt>
                <c:pt idx="170">
                  <c:v>44809</c:v>
                </c:pt>
                <c:pt idx="171">
                  <c:v>44810</c:v>
                </c:pt>
                <c:pt idx="172">
                  <c:v>44812</c:v>
                </c:pt>
                <c:pt idx="173">
                  <c:v>44813</c:v>
                </c:pt>
                <c:pt idx="174">
                  <c:v>44816</c:v>
                </c:pt>
                <c:pt idx="175">
                  <c:v>44817</c:v>
                </c:pt>
                <c:pt idx="176">
                  <c:v>44818</c:v>
                </c:pt>
                <c:pt idx="177">
                  <c:v>44819</c:v>
                </c:pt>
                <c:pt idx="178">
                  <c:v>44820</c:v>
                </c:pt>
                <c:pt idx="179">
                  <c:v>44823</c:v>
                </c:pt>
                <c:pt idx="180">
                  <c:v>44824</c:v>
                </c:pt>
                <c:pt idx="181">
                  <c:v>44825</c:v>
                </c:pt>
                <c:pt idx="182">
                  <c:v>44826</c:v>
                </c:pt>
                <c:pt idx="183">
                  <c:v>44827</c:v>
                </c:pt>
                <c:pt idx="184">
                  <c:v>44830</c:v>
                </c:pt>
                <c:pt idx="185">
                  <c:v>44831</c:v>
                </c:pt>
                <c:pt idx="186">
                  <c:v>44832</c:v>
                </c:pt>
                <c:pt idx="187">
                  <c:v>44833</c:v>
                </c:pt>
                <c:pt idx="188">
                  <c:v>44834</c:v>
                </c:pt>
                <c:pt idx="189">
                  <c:v>44837</c:v>
                </c:pt>
                <c:pt idx="190">
                  <c:v>44838</c:v>
                </c:pt>
                <c:pt idx="191">
                  <c:v>44839</c:v>
                </c:pt>
                <c:pt idx="192">
                  <c:v>44840</c:v>
                </c:pt>
                <c:pt idx="193">
                  <c:v>44841</c:v>
                </c:pt>
                <c:pt idx="194">
                  <c:v>44844</c:v>
                </c:pt>
                <c:pt idx="195">
                  <c:v>44845</c:v>
                </c:pt>
                <c:pt idx="196">
                  <c:v>44847</c:v>
                </c:pt>
                <c:pt idx="197">
                  <c:v>44848</c:v>
                </c:pt>
                <c:pt idx="198">
                  <c:v>44851</c:v>
                </c:pt>
                <c:pt idx="199">
                  <c:v>44852</c:v>
                </c:pt>
                <c:pt idx="200">
                  <c:v>44853</c:v>
                </c:pt>
                <c:pt idx="201">
                  <c:v>44854</c:v>
                </c:pt>
                <c:pt idx="202">
                  <c:v>44855</c:v>
                </c:pt>
                <c:pt idx="203">
                  <c:v>44858</c:v>
                </c:pt>
                <c:pt idx="204">
                  <c:v>44859</c:v>
                </c:pt>
                <c:pt idx="205">
                  <c:v>44860</c:v>
                </c:pt>
                <c:pt idx="206">
                  <c:v>44861</c:v>
                </c:pt>
                <c:pt idx="207">
                  <c:v>44862</c:v>
                </c:pt>
                <c:pt idx="208">
                  <c:v>44865</c:v>
                </c:pt>
                <c:pt idx="209">
                  <c:v>44866</c:v>
                </c:pt>
                <c:pt idx="210">
                  <c:v>44868</c:v>
                </c:pt>
                <c:pt idx="211">
                  <c:v>44869</c:v>
                </c:pt>
                <c:pt idx="212">
                  <c:v>44872</c:v>
                </c:pt>
                <c:pt idx="213">
                  <c:v>44873</c:v>
                </c:pt>
                <c:pt idx="214">
                  <c:v>44874</c:v>
                </c:pt>
                <c:pt idx="215">
                  <c:v>44875</c:v>
                </c:pt>
                <c:pt idx="216">
                  <c:v>44876</c:v>
                </c:pt>
                <c:pt idx="217">
                  <c:v>44879</c:v>
                </c:pt>
                <c:pt idx="218">
                  <c:v>44881</c:v>
                </c:pt>
                <c:pt idx="219">
                  <c:v>44882</c:v>
                </c:pt>
                <c:pt idx="220">
                  <c:v>44883</c:v>
                </c:pt>
                <c:pt idx="221">
                  <c:v>44886</c:v>
                </c:pt>
                <c:pt idx="222">
                  <c:v>44887</c:v>
                </c:pt>
                <c:pt idx="223">
                  <c:v>44888</c:v>
                </c:pt>
                <c:pt idx="224">
                  <c:v>44889</c:v>
                </c:pt>
                <c:pt idx="225">
                  <c:v>44890</c:v>
                </c:pt>
                <c:pt idx="226">
                  <c:v>44893</c:v>
                </c:pt>
                <c:pt idx="227">
                  <c:v>44894</c:v>
                </c:pt>
                <c:pt idx="228">
                  <c:v>44895</c:v>
                </c:pt>
                <c:pt idx="229">
                  <c:v>44896</c:v>
                </c:pt>
                <c:pt idx="230">
                  <c:v>44897</c:v>
                </c:pt>
                <c:pt idx="231">
                  <c:v>44900</c:v>
                </c:pt>
                <c:pt idx="232">
                  <c:v>44901</c:v>
                </c:pt>
                <c:pt idx="233">
                  <c:v>44902</c:v>
                </c:pt>
                <c:pt idx="234">
                  <c:v>44903</c:v>
                </c:pt>
                <c:pt idx="235">
                  <c:v>44904</c:v>
                </c:pt>
                <c:pt idx="236">
                  <c:v>44907</c:v>
                </c:pt>
                <c:pt idx="237">
                  <c:v>44908</c:v>
                </c:pt>
                <c:pt idx="238">
                  <c:v>44909</c:v>
                </c:pt>
                <c:pt idx="239">
                  <c:v>44910</c:v>
                </c:pt>
                <c:pt idx="240">
                  <c:v>44911</c:v>
                </c:pt>
                <c:pt idx="241">
                  <c:v>44914</c:v>
                </c:pt>
                <c:pt idx="242">
                  <c:v>44915</c:v>
                </c:pt>
                <c:pt idx="243">
                  <c:v>44916</c:v>
                </c:pt>
                <c:pt idx="244">
                  <c:v>44917</c:v>
                </c:pt>
                <c:pt idx="245">
                  <c:v>44918</c:v>
                </c:pt>
                <c:pt idx="246">
                  <c:v>44921</c:v>
                </c:pt>
                <c:pt idx="247">
                  <c:v>44922</c:v>
                </c:pt>
                <c:pt idx="248">
                  <c:v>44923</c:v>
                </c:pt>
                <c:pt idx="249">
                  <c:v>44924</c:v>
                </c:pt>
                <c:pt idx="250">
                  <c:v>44925</c:v>
                </c:pt>
                <c:pt idx="251">
                  <c:v>44928</c:v>
                </c:pt>
                <c:pt idx="252">
                  <c:v>44929</c:v>
                </c:pt>
                <c:pt idx="253">
                  <c:v>44930</c:v>
                </c:pt>
                <c:pt idx="254">
                  <c:v>44931</c:v>
                </c:pt>
                <c:pt idx="255">
                  <c:v>44932</c:v>
                </c:pt>
                <c:pt idx="256">
                  <c:v>44935</c:v>
                </c:pt>
                <c:pt idx="257">
                  <c:v>44936</c:v>
                </c:pt>
                <c:pt idx="258">
                  <c:v>44937</c:v>
                </c:pt>
                <c:pt idx="259">
                  <c:v>44938</c:v>
                </c:pt>
                <c:pt idx="260">
                  <c:v>44939</c:v>
                </c:pt>
                <c:pt idx="261">
                  <c:v>44942</c:v>
                </c:pt>
                <c:pt idx="262">
                  <c:v>44943</c:v>
                </c:pt>
                <c:pt idx="263">
                  <c:v>44944</c:v>
                </c:pt>
                <c:pt idx="264">
                  <c:v>44945</c:v>
                </c:pt>
                <c:pt idx="265">
                  <c:v>44946</c:v>
                </c:pt>
                <c:pt idx="266">
                  <c:v>44949</c:v>
                </c:pt>
                <c:pt idx="267">
                  <c:v>44950</c:v>
                </c:pt>
                <c:pt idx="268">
                  <c:v>44951</c:v>
                </c:pt>
                <c:pt idx="269">
                  <c:v>44952</c:v>
                </c:pt>
                <c:pt idx="270">
                  <c:v>44953</c:v>
                </c:pt>
                <c:pt idx="271">
                  <c:v>44956</c:v>
                </c:pt>
                <c:pt idx="272">
                  <c:v>44957</c:v>
                </c:pt>
                <c:pt idx="273">
                  <c:v>44958</c:v>
                </c:pt>
                <c:pt idx="274">
                  <c:v>44959</c:v>
                </c:pt>
                <c:pt idx="275">
                  <c:v>44960</c:v>
                </c:pt>
                <c:pt idx="276">
                  <c:v>44963</c:v>
                </c:pt>
                <c:pt idx="277">
                  <c:v>44964</c:v>
                </c:pt>
                <c:pt idx="278">
                  <c:v>44965</c:v>
                </c:pt>
                <c:pt idx="279">
                  <c:v>44966</c:v>
                </c:pt>
                <c:pt idx="280">
                  <c:v>44967</c:v>
                </c:pt>
                <c:pt idx="281">
                  <c:v>44970</c:v>
                </c:pt>
                <c:pt idx="282">
                  <c:v>44971</c:v>
                </c:pt>
                <c:pt idx="283">
                  <c:v>44972</c:v>
                </c:pt>
                <c:pt idx="284">
                  <c:v>44973</c:v>
                </c:pt>
                <c:pt idx="285">
                  <c:v>44974</c:v>
                </c:pt>
                <c:pt idx="286">
                  <c:v>44979</c:v>
                </c:pt>
                <c:pt idx="287">
                  <c:v>44980</c:v>
                </c:pt>
                <c:pt idx="288">
                  <c:v>44981</c:v>
                </c:pt>
                <c:pt idx="289">
                  <c:v>44984</c:v>
                </c:pt>
                <c:pt idx="290">
                  <c:v>44985</c:v>
                </c:pt>
                <c:pt idx="291">
                  <c:v>44986</c:v>
                </c:pt>
                <c:pt idx="292">
                  <c:v>44987</c:v>
                </c:pt>
                <c:pt idx="293">
                  <c:v>44988</c:v>
                </c:pt>
                <c:pt idx="294">
                  <c:v>44991</c:v>
                </c:pt>
                <c:pt idx="295">
                  <c:v>44992</c:v>
                </c:pt>
                <c:pt idx="296">
                  <c:v>44993</c:v>
                </c:pt>
                <c:pt idx="297">
                  <c:v>44994</c:v>
                </c:pt>
                <c:pt idx="298">
                  <c:v>44995</c:v>
                </c:pt>
                <c:pt idx="299">
                  <c:v>44998</c:v>
                </c:pt>
                <c:pt idx="300">
                  <c:v>44999</c:v>
                </c:pt>
                <c:pt idx="301">
                  <c:v>45000</c:v>
                </c:pt>
                <c:pt idx="302">
                  <c:v>45001</c:v>
                </c:pt>
                <c:pt idx="303">
                  <c:v>45002</c:v>
                </c:pt>
                <c:pt idx="304">
                  <c:v>45005</c:v>
                </c:pt>
              </c:numCache>
            </c:numRef>
          </c:cat>
          <c:val>
            <c:numRef>
              <c:f>'Exp Annual'!$G$4:$G$461</c:f>
              <c:numCache>
                <c:formatCode>General</c:formatCode>
                <c:ptCount val="458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</c:v>
                </c:pt>
                <c:pt idx="4">
                  <c:v>4.2693000000000003</c:v>
                </c:pt>
                <c:pt idx="5">
                  <c:v>4.2693000000000003</c:v>
                </c:pt>
                <c:pt idx="6">
                  <c:v>4.2693000000000003</c:v>
                </c:pt>
                <c:pt idx="7">
                  <c:v>4.2693000000000003</c:v>
                </c:pt>
                <c:pt idx="8">
                  <c:v>4.2693000000000003</c:v>
                </c:pt>
                <c:pt idx="9">
                  <c:v>4.68</c:v>
                </c:pt>
                <c:pt idx="10">
                  <c:v>4.68</c:v>
                </c:pt>
                <c:pt idx="11">
                  <c:v>4.68</c:v>
                </c:pt>
                <c:pt idx="12">
                  <c:v>4.68</c:v>
                </c:pt>
                <c:pt idx="13">
                  <c:v>4.68</c:v>
                </c:pt>
                <c:pt idx="14">
                  <c:v>4.5721999999999996</c:v>
                </c:pt>
                <c:pt idx="15">
                  <c:v>4.5721999999999996</c:v>
                </c:pt>
                <c:pt idx="16">
                  <c:v>4.5721999999999996</c:v>
                </c:pt>
                <c:pt idx="17">
                  <c:v>4.5721999999999996</c:v>
                </c:pt>
                <c:pt idx="18">
                  <c:v>4.5721999999999996</c:v>
                </c:pt>
                <c:pt idx="19">
                  <c:v>5.88</c:v>
                </c:pt>
                <c:pt idx="20">
                  <c:v>5.88</c:v>
                </c:pt>
                <c:pt idx="21">
                  <c:v>5.88</c:v>
                </c:pt>
                <c:pt idx="22">
                  <c:v>5.88</c:v>
                </c:pt>
                <c:pt idx="23">
                  <c:v>5.88</c:v>
                </c:pt>
                <c:pt idx="24">
                  <c:v>4.5206999999999997</c:v>
                </c:pt>
                <c:pt idx="25">
                  <c:v>4.5206999999999997</c:v>
                </c:pt>
                <c:pt idx="26">
                  <c:v>4.5206999999999997</c:v>
                </c:pt>
                <c:pt idx="27">
                  <c:v>4.5206999999999997</c:v>
                </c:pt>
                <c:pt idx="28">
                  <c:v>4.3952</c:v>
                </c:pt>
                <c:pt idx="29">
                  <c:v>4.6900000000000004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4.8121</c:v>
                </c:pt>
                <c:pt idx="36">
                  <c:v>4.8121</c:v>
                </c:pt>
                <c:pt idx="37">
                  <c:v>4.8121</c:v>
                </c:pt>
                <c:pt idx="38">
                  <c:v>4.8121</c:v>
                </c:pt>
                <c:pt idx="39">
                  <c:v>4.6900000000000004</c:v>
                </c:pt>
                <c:pt idx="40">
                  <c:v>4.6900000000000004</c:v>
                </c:pt>
                <c:pt idx="41">
                  <c:v>4.6900000000000004</c:v>
                </c:pt>
                <c:pt idx="42">
                  <c:v>4.6900000000000004</c:v>
                </c:pt>
                <c:pt idx="43">
                  <c:v>4.6900000000000004</c:v>
                </c:pt>
                <c:pt idx="44">
                  <c:v>4.4579000000000004</c:v>
                </c:pt>
                <c:pt idx="45">
                  <c:v>4.4579000000000004</c:v>
                </c:pt>
                <c:pt idx="46">
                  <c:v>4.4579000000000004</c:v>
                </c:pt>
                <c:pt idx="47">
                  <c:v>4.9370000000000003</c:v>
                </c:pt>
                <c:pt idx="48">
                  <c:v>4.9370000000000003</c:v>
                </c:pt>
                <c:pt idx="49">
                  <c:v>4.9370000000000003</c:v>
                </c:pt>
                <c:pt idx="50">
                  <c:v>4.9370000000000003</c:v>
                </c:pt>
                <c:pt idx="51">
                  <c:v>4.9370000000000003</c:v>
                </c:pt>
                <c:pt idx="52">
                  <c:v>5.0464000000000002</c:v>
                </c:pt>
                <c:pt idx="53">
                  <c:v>5.3563000000000001</c:v>
                </c:pt>
                <c:pt idx="54">
                  <c:v>5.3563000000000001</c:v>
                </c:pt>
                <c:pt idx="55">
                  <c:v>5.3563000000000001</c:v>
                </c:pt>
                <c:pt idx="56">
                  <c:v>5.3563000000000001</c:v>
                </c:pt>
                <c:pt idx="57">
                  <c:v>5.3563000000000001</c:v>
                </c:pt>
                <c:pt idx="58">
                  <c:v>5.0464000000000002</c:v>
                </c:pt>
                <c:pt idx="59">
                  <c:v>5.0464000000000002</c:v>
                </c:pt>
                <c:pt idx="60">
                  <c:v>5.6368</c:v>
                </c:pt>
                <c:pt idx="61">
                  <c:v>5.6368</c:v>
                </c:pt>
                <c:pt idx="62">
                  <c:v>5.6368</c:v>
                </c:pt>
                <c:pt idx="63">
                  <c:v>5.6368</c:v>
                </c:pt>
                <c:pt idx="64">
                  <c:v>5.6368</c:v>
                </c:pt>
                <c:pt idx="65">
                  <c:v>5.1466000000000003</c:v>
                </c:pt>
                <c:pt idx="66">
                  <c:v>5.1466000000000003</c:v>
                </c:pt>
                <c:pt idx="67">
                  <c:v>5.0944000000000003</c:v>
                </c:pt>
                <c:pt idx="68">
                  <c:v>5.0944000000000003</c:v>
                </c:pt>
                <c:pt idx="69">
                  <c:v>5.0944000000000003</c:v>
                </c:pt>
                <c:pt idx="70">
                  <c:v>5.0944000000000003</c:v>
                </c:pt>
                <c:pt idx="71">
                  <c:v>5.32</c:v>
                </c:pt>
                <c:pt idx="72">
                  <c:v>5.32</c:v>
                </c:pt>
                <c:pt idx="73">
                  <c:v>5.32</c:v>
                </c:pt>
                <c:pt idx="74">
                  <c:v>5.32</c:v>
                </c:pt>
                <c:pt idx="75">
                  <c:v>6.1029999999999998</c:v>
                </c:pt>
                <c:pt idx="76">
                  <c:v>6.1029999999999998</c:v>
                </c:pt>
                <c:pt idx="77">
                  <c:v>6.1029999999999998</c:v>
                </c:pt>
                <c:pt idx="78">
                  <c:v>6.1029999999999998</c:v>
                </c:pt>
                <c:pt idx="79">
                  <c:v>6.1029999999999998</c:v>
                </c:pt>
                <c:pt idx="80">
                  <c:v>6.0400999999999998</c:v>
                </c:pt>
                <c:pt idx="81">
                  <c:v>6.0400999999999998</c:v>
                </c:pt>
                <c:pt idx="82">
                  <c:v>6.0400999999999998</c:v>
                </c:pt>
                <c:pt idx="83">
                  <c:v>6.0400999999999998</c:v>
                </c:pt>
                <c:pt idx="84">
                  <c:v>6.0400999999999998</c:v>
                </c:pt>
                <c:pt idx="85">
                  <c:v>5.7662000000000004</c:v>
                </c:pt>
                <c:pt idx="86">
                  <c:v>5.7662000000000004</c:v>
                </c:pt>
                <c:pt idx="87">
                  <c:v>5.7662000000000004</c:v>
                </c:pt>
                <c:pt idx="88">
                  <c:v>6.3399000000000001</c:v>
                </c:pt>
                <c:pt idx="89">
                  <c:v>6.3399000000000001</c:v>
                </c:pt>
                <c:pt idx="90">
                  <c:v>6.3399000000000001</c:v>
                </c:pt>
                <c:pt idx="91">
                  <c:v>6.3399000000000001</c:v>
                </c:pt>
                <c:pt idx="92">
                  <c:v>6.7069999999999999</c:v>
                </c:pt>
                <c:pt idx="93">
                  <c:v>6.7069999999999999</c:v>
                </c:pt>
                <c:pt idx="94">
                  <c:v>6.7069999999999999</c:v>
                </c:pt>
                <c:pt idx="95">
                  <c:v>6.5796999999999999</c:v>
                </c:pt>
                <c:pt idx="96">
                  <c:v>6.5796999999999999</c:v>
                </c:pt>
                <c:pt idx="97">
                  <c:v>6.5796999999999999</c:v>
                </c:pt>
                <c:pt idx="98">
                  <c:v>6.5796999999999999</c:v>
                </c:pt>
                <c:pt idx="99">
                  <c:v>6.5796999999999999</c:v>
                </c:pt>
                <c:pt idx="100">
                  <c:v>6.51</c:v>
                </c:pt>
                <c:pt idx="101">
                  <c:v>6.51</c:v>
                </c:pt>
                <c:pt idx="102">
                  <c:v>6.51</c:v>
                </c:pt>
                <c:pt idx="103">
                  <c:v>6.51</c:v>
                </c:pt>
                <c:pt idx="104">
                  <c:v>6.51</c:v>
                </c:pt>
                <c:pt idx="105">
                  <c:v>6.44</c:v>
                </c:pt>
                <c:pt idx="106">
                  <c:v>6.44</c:v>
                </c:pt>
                <c:pt idx="107">
                  <c:v>6.44</c:v>
                </c:pt>
                <c:pt idx="108">
                  <c:v>6.44</c:v>
                </c:pt>
                <c:pt idx="109">
                  <c:v>6.44</c:v>
                </c:pt>
                <c:pt idx="110">
                  <c:v>6.6428000000000003</c:v>
                </c:pt>
                <c:pt idx="111">
                  <c:v>6.6428000000000003</c:v>
                </c:pt>
                <c:pt idx="112">
                  <c:v>6.6428000000000003</c:v>
                </c:pt>
                <c:pt idx="113">
                  <c:v>6.6428000000000003</c:v>
                </c:pt>
                <c:pt idx="114">
                  <c:v>7.38</c:v>
                </c:pt>
                <c:pt idx="115">
                  <c:v>7.38</c:v>
                </c:pt>
                <c:pt idx="116">
                  <c:v>7.38</c:v>
                </c:pt>
                <c:pt idx="117">
                  <c:v>7.38</c:v>
                </c:pt>
                <c:pt idx="118">
                  <c:v>7.38</c:v>
                </c:pt>
                <c:pt idx="119">
                  <c:v>7.38</c:v>
                </c:pt>
                <c:pt idx="120">
                  <c:v>7.38</c:v>
                </c:pt>
                <c:pt idx="121">
                  <c:v>7.38</c:v>
                </c:pt>
                <c:pt idx="122">
                  <c:v>7.38</c:v>
                </c:pt>
                <c:pt idx="123">
                  <c:v>7.38</c:v>
                </c:pt>
                <c:pt idx="124">
                  <c:v>7.18</c:v>
                </c:pt>
                <c:pt idx="125">
                  <c:v>7.18</c:v>
                </c:pt>
                <c:pt idx="126">
                  <c:v>7.18</c:v>
                </c:pt>
                <c:pt idx="127">
                  <c:v>7.18</c:v>
                </c:pt>
                <c:pt idx="128">
                  <c:v>7.18</c:v>
                </c:pt>
                <c:pt idx="129">
                  <c:v>7.23</c:v>
                </c:pt>
                <c:pt idx="130">
                  <c:v>7.23</c:v>
                </c:pt>
                <c:pt idx="131">
                  <c:v>7.23</c:v>
                </c:pt>
                <c:pt idx="132">
                  <c:v>7.23</c:v>
                </c:pt>
                <c:pt idx="133">
                  <c:v>7.23</c:v>
                </c:pt>
                <c:pt idx="134">
                  <c:v>7.23</c:v>
                </c:pt>
                <c:pt idx="135">
                  <c:v>7.23</c:v>
                </c:pt>
                <c:pt idx="136">
                  <c:v>7.23</c:v>
                </c:pt>
                <c:pt idx="137">
                  <c:v>7.23</c:v>
                </c:pt>
                <c:pt idx="138">
                  <c:v>7.23</c:v>
                </c:pt>
                <c:pt idx="139">
                  <c:v>7.16</c:v>
                </c:pt>
                <c:pt idx="140">
                  <c:v>7.16</c:v>
                </c:pt>
                <c:pt idx="141">
                  <c:v>7.16</c:v>
                </c:pt>
                <c:pt idx="142">
                  <c:v>7.16</c:v>
                </c:pt>
                <c:pt idx="143">
                  <c:v>7.16</c:v>
                </c:pt>
                <c:pt idx="144">
                  <c:v>7.2</c:v>
                </c:pt>
                <c:pt idx="145">
                  <c:v>7.2</c:v>
                </c:pt>
                <c:pt idx="146">
                  <c:v>7.2</c:v>
                </c:pt>
                <c:pt idx="147">
                  <c:v>7.2</c:v>
                </c:pt>
                <c:pt idx="148">
                  <c:v>7.2</c:v>
                </c:pt>
                <c:pt idx="149">
                  <c:v>7.2</c:v>
                </c:pt>
                <c:pt idx="150">
                  <c:v>7.2</c:v>
                </c:pt>
                <c:pt idx="151">
                  <c:v>7.2</c:v>
                </c:pt>
                <c:pt idx="152">
                  <c:v>7.2</c:v>
                </c:pt>
                <c:pt idx="153">
                  <c:v>7.2</c:v>
                </c:pt>
                <c:pt idx="154">
                  <c:v>7.14</c:v>
                </c:pt>
                <c:pt idx="155">
                  <c:v>7.14</c:v>
                </c:pt>
                <c:pt idx="156">
                  <c:v>7.14</c:v>
                </c:pt>
                <c:pt idx="157">
                  <c:v>7.14</c:v>
                </c:pt>
                <c:pt idx="158">
                  <c:v>7.14</c:v>
                </c:pt>
                <c:pt idx="159">
                  <c:v>7.01</c:v>
                </c:pt>
                <c:pt idx="160">
                  <c:v>7.01</c:v>
                </c:pt>
                <c:pt idx="161">
                  <c:v>7.01</c:v>
                </c:pt>
                <c:pt idx="162">
                  <c:v>7.01</c:v>
                </c:pt>
                <c:pt idx="163">
                  <c:v>7.01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6.86</c:v>
                </c:pt>
                <c:pt idx="170">
                  <c:v>6.86</c:v>
                </c:pt>
                <c:pt idx="171">
                  <c:v>6.86</c:v>
                </c:pt>
                <c:pt idx="172">
                  <c:v>6.86</c:v>
                </c:pt>
                <c:pt idx="173">
                  <c:v>7.02</c:v>
                </c:pt>
                <c:pt idx="174">
                  <c:v>7.02</c:v>
                </c:pt>
                <c:pt idx="175">
                  <c:v>7.02</c:v>
                </c:pt>
                <c:pt idx="176">
                  <c:v>7.02</c:v>
                </c:pt>
                <c:pt idx="177">
                  <c:v>7.02</c:v>
                </c:pt>
                <c:pt idx="178">
                  <c:v>6.0587999999999997</c:v>
                </c:pt>
                <c:pt idx="179">
                  <c:v>6.0587999999999997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7.02</c:v>
                </c:pt>
                <c:pt idx="184">
                  <c:v>7.02</c:v>
                </c:pt>
                <c:pt idx="185">
                  <c:v>7.02</c:v>
                </c:pt>
                <c:pt idx="186">
                  <c:v>7.02</c:v>
                </c:pt>
                <c:pt idx="187">
                  <c:v>7.02</c:v>
                </c:pt>
                <c:pt idx="188">
                  <c:v>7</c:v>
                </c:pt>
                <c:pt idx="189">
                  <c:v>7</c:v>
                </c:pt>
                <c:pt idx="190">
                  <c:v>7</c:v>
                </c:pt>
                <c:pt idx="191">
                  <c:v>7</c:v>
                </c:pt>
                <c:pt idx="192">
                  <c:v>7</c:v>
                </c:pt>
                <c:pt idx="193">
                  <c:v>6.95</c:v>
                </c:pt>
                <c:pt idx="194">
                  <c:v>6.95</c:v>
                </c:pt>
                <c:pt idx="195">
                  <c:v>6.95</c:v>
                </c:pt>
                <c:pt idx="196">
                  <c:v>6.95</c:v>
                </c:pt>
                <c:pt idx="197">
                  <c:v>6.94</c:v>
                </c:pt>
                <c:pt idx="198">
                  <c:v>6.94</c:v>
                </c:pt>
                <c:pt idx="199">
                  <c:v>6.94</c:v>
                </c:pt>
                <c:pt idx="200">
                  <c:v>6.94</c:v>
                </c:pt>
                <c:pt idx="201">
                  <c:v>6.94</c:v>
                </c:pt>
                <c:pt idx="202">
                  <c:v>6.6</c:v>
                </c:pt>
                <c:pt idx="203">
                  <c:v>6.6</c:v>
                </c:pt>
                <c:pt idx="204">
                  <c:v>6.6</c:v>
                </c:pt>
                <c:pt idx="205">
                  <c:v>6.6</c:v>
                </c:pt>
                <c:pt idx="206">
                  <c:v>6.6</c:v>
                </c:pt>
                <c:pt idx="207">
                  <c:v>6.9</c:v>
                </c:pt>
                <c:pt idx="208">
                  <c:v>6.9</c:v>
                </c:pt>
                <c:pt idx="209">
                  <c:v>6.9</c:v>
                </c:pt>
                <c:pt idx="210">
                  <c:v>6.9</c:v>
                </c:pt>
                <c:pt idx="211">
                  <c:v>6.95</c:v>
                </c:pt>
                <c:pt idx="212">
                  <c:v>6.95</c:v>
                </c:pt>
                <c:pt idx="213">
                  <c:v>6.95</c:v>
                </c:pt>
                <c:pt idx="214">
                  <c:v>6.95</c:v>
                </c:pt>
                <c:pt idx="215">
                  <c:v>6.95</c:v>
                </c:pt>
                <c:pt idx="216">
                  <c:v>6.99</c:v>
                </c:pt>
                <c:pt idx="217">
                  <c:v>6.99</c:v>
                </c:pt>
                <c:pt idx="218">
                  <c:v>6.99</c:v>
                </c:pt>
                <c:pt idx="219">
                  <c:v>6.99</c:v>
                </c:pt>
                <c:pt idx="220">
                  <c:v>6.99</c:v>
                </c:pt>
                <c:pt idx="221">
                  <c:v>6.99</c:v>
                </c:pt>
                <c:pt idx="222">
                  <c:v>6.99</c:v>
                </c:pt>
                <c:pt idx="223">
                  <c:v>6.99</c:v>
                </c:pt>
                <c:pt idx="224">
                  <c:v>6.99</c:v>
                </c:pt>
                <c:pt idx="225">
                  <c:v>7</c:v>
                </c:pt>
                <c:pt idx="226">
                  <c:v>7</c:v>
                </c:pt>
                <c:pt idx="227">
                  <c:v>7</c:v>
                </c:pt>
                <c:pt idx="228">
                  <c:v>7</c:v>
                </c:pt>
                <c:pt idx="229">
                  <c:v>7</c:v>
                </c:pt>
                <c:pt idx="230">
                  <c:v>6.2074999999999996</c:v>
                </c:pt>
                <c:pt idx="231">
                  <c:v>6.2074999999999996</c:v>
                </c:pt>
                <c:pt idx="232">
                  <c:v>6.2074999999999996</c:v>
                </c:pt>
                <c:pt idx="233">
                  <c:v>6.2074999999999996</c:v>
                </c:pt>
                <c:pt idx="234">
                  <c:v>6.2074999999999996</c:v>
                </c:pt>
                <c:pt idx="235">
                  <c:v>6.88</c:v>
                </c:pt>
                <c:pt idx="236">
                  <c:v>6.88</c:v>
                </c:pt>
                <c:pt idx="237">
                  <c:v>6.88</c:v>
                </c:pt>
                <c:pt idx="238">
                  <c:v>6.88</c:v>
                </c:pt>
                <c:pt idx="239">
                  <c:v>6.88</c:v>
                </c:pt>
                <c:pt idx="240">
                  <c:v>6.952</c:v>
                </c:pt>
                <c:pt idx="241">
                  <c:v>6.952</c:v>
                </c:pt>
                <c:pt idx="242">
                  <c:v>6.952</c:v>
                </c:pt>
                <c:pt idx="243">
                  <c:v>6.952</c:v>
                </c:pt>
                <c:pt idx="244">
                  <c:v>6.952</c:v>
                </c:pt>
                <c:pt idx="245">
                  <c:v>6.93</c:v>
                </c:pt>
                <c:pt idx="246">
                  <c:v>6.93</c:v>
                </c:pt>
                <c:pt idx="247">
                  <c:v>6.93</c:v>
                </c:pt>
                <c:pt idx="248">
                  <c:v>6.93</c:v>
                </c:pt>
                <c:pt idx="249">
                  <c:v>6.93</c:v>
                </c:pt>
                <c:pt idx="250">
                  <c:v>6.93</c:v>
                </c:pt>
                <c:pt idx="251">
                  <c:v>6.93</c:v>
                </c:pt>
                <c:pt idx="252">
                  <c:v>6.93</c:v>
                </c:pt>
                <c:pt idx="253">
                  <c:v>6.93</c:v>
                </c:pt>
                <c:pt idx="254">
                  <c:v>6.2712000000000003</c:v>
                </c:pt>
                <c:pt idx="255">
                  <c:v>6.93</c:v>
                </c:pt>
                <c:pt idx="256">
                  <c:v>6.93</c:v>
                </c:pt>
                <c:pt idx="257">
                  <c:v>6.93</c:v>
                </c:pt>
                <c:pt idx="258">
                  <c:v>6.93</c:v>
                </c:pt>
                <c:pt idx="259">
                  <c:v>6.93</c:v>
                </c:pt>
                <c:pt idx="260">
                  <c:v>6.89</c:v>
                </c:pt>
                <c:pt idx="261">
                  <c:v>6.89</c:v>
                </c:pt>
                <c:pt idx="262">
                  <c:v>6.89</c:v>
                </c:pt>
                <c:pt idx="263">
                  <c:v>6.89</c:v>
                </c:pt>
                <c:pt idx="264">
                  <c:v>6.89</c:v>
                </c:pt>
                <c:pt idx="265">
                  <c:v>7.0303000000000004</c:v>
                </c:pt>
                <c:pt idx="266">
                  <c:v>7.0303000000000004</c:v>
                </c:pt>
                <c:pt idx="267">
                  <c:v>7.0303000000000004</c:v>
                </c:pt>
                <c:pt idx="268">
                  <c:v>7.0303000000000004</c:v>
                </c:pt>
                <c:pt idx="269">
                  <c:v>7.0303000000000004</c:v>
                </c:pt>
                <c:pt idx="270">
                  <c:v>6.9</c:v>
                </c:pt>
                <c:pt idx="271">
                  <c:v>6.9</c:v>
                </c:pt>
                <c:pt idx="272">
                  <c:v>6.9911000000000003</c:v>
                </c:pt>
                <c:pt idx="273">
                  <c:v>6.9911000000000003</c:v>
                </c:pt>
                <c:pt idx="274">
                  <c:v>6.9911000000000003</c:v>
                </c:pt>
                <c:pt idx="275">
                  <c:v>6.9911000000000003</c:v>
                </c:pt>
                <c:pt idx="276">
                  <c:v>6.9911000000000003</c:v>
                </c:pt>
                <c:pt idx="277">
                  <c:v>6.8642000000000003</c:v>
                </c:pt>
                <c:pt idx="278">
                  <c:v>6.8642000000000003</c:v>
                </c:pt>
                <c:pt idx="279">
                  <c:v>6.8960999999999997</c:v>
                </c:pt>
                <c:pt idx="280">
                  <c:v>6.9165999999999999</c:v>
                </c:pt>
                <c:pt idx="281">
                  <c:v>6.9165999999999999</c:v>
                </c:pt>
                <c:pt idx="282">
                  <c:v>6.9165999999999999</c:v>
                </c:pt>
                <c:pt idx="283">
                  <c:v>6.9165999999999999</c:v>
                </c:pt>
                <c:pt idx="284">
                  <c:v>6.9165999999999999</c:v>
                </c:pt>
                <c:pt idx="285">
                  <c:v>6.8330000000000002</c:v>
                </c:pt>
                <c:pt idx="286">
                  <c:v>6.9165999999999999</c:v>
                </c:pt>
                <c:pt idx="287">
                  <c:v>6.9165999999999999</c:v>
                </c:pt>
                <c:pt idx="288">
                  <c:v>6.9165999999999999</c:v>
                </c:pt>
                <c:pt idx="289">
                  <c:v>6.9165999999999999</c:v>
                </c:pt>
                <c:pt idx="290">
                  <c:v>6.9165999999999999</c:v>
                </c:pt>
                <c:pt idx="291">
                  <c:v>6.8864999999999998</c:v>
                </c:pt>
                <c:pt idx="292">
                  <c:v>6.8864999999999998</c:v>
                </c:pt>
                <c:pt idx="293">
                  <c:v>6.8654000000000002</c:v>
                </c:pt>
                <c:pt idx="294">
                  <c:v>6.8654000000000002</c:v>
                </c:pt>
                <c:pt idx="295">
                  <c:v>6.8654000000000002</c:v>
                </c:pt>
                <c:pt idx="296">
                  <c:v>6.8654000000000002</c:v>
                </c:pt>
                <c:pt idx="297">
                  <c:v>6.8654000000000002</c:v>
                </c:pt>
                <c:pt idx="298">
                  <c:v>7.0784000000000002</c:v>
                </c:pt>
                <c:pt idx="299">
                  <c:v>7.0784000000000002</c:v>
                </c:pt>
                <c:pt idx="300">
                  <c:v>7.0784000000000002</c:v>
                </c:pt>
                <c:pt idx="301">
                  <c:v>7.0784000000000002</c:v>
                </c:pt>
                <c:pt idx="302">
                  <c:v>7.0784000000000002</c:v>
                </c:pt>
                <c:pt idx="303">
                  <c:v>7.0784000000000002</c:v>
                </c:pt>
                <c:pt idx="304">
                  <c:v>7.0784000000000002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78-49E6-9275-08E68CAC8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IPCA Anual: erro de previsão</a:t>
            </a:r>
            <a:r>
              <a:rPr lang="pt-BR" b="1" baseline="0"/>
              <a:t> do primeiro FOCUS de cada ano</a:t>
            </a:r>
            <a:br>
              <a:rPr lang="pt-BR" b="1"/>
            </a:br>
            <a:r>
              <a:rPr lang="pt-BR"/>
              <a:t>(realizado -</a:t>
            </a:r>
            <a:r>
              <a:rPr lang="pt-BR" baseline="0"/>
              <a:t> </a:t>
            </a:r>
            <a:r>
              <a:rPr lang="pt-BR"/>
              <a:t>mediana</a:t>
            </a:r>
            <a:r>
              <a:rPr lang="pt-BR" baseline="0"/>
              <a:t> das </a:t>
            </a:r>
            <a:r>
              <a:rPr lang="pt-BR"/>
              <a:t>previsões)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91126738967554E-2"/>
          <c:y val="0.20338139024703314"/>
          <c:w val="0.89709914711341987"/>
          <c:h val="0.6153987304106328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2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9D9C-4742-B1CF-465D9C6BCAA3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'SGS vs FOCUS 2'!$D$5:$D$28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numCache>
            </c:numRef>
          </c:cat>
          <c:val>
            <c:numRef>
              <c:f>'SGS vs FOCUS 2'!$H$5:$H$28</c:f>
              <c:numCache>
                <c:formatCode>0.0</c:formatCode>
                <c:ptCount val="24"/>
                <c:pt idx="0">
                  <c:v>-1.0300000000000002</c:v>
                </c:pt>
                <c:pt idx="1">
                  <c:v>3.37</c:v>
                </c:pt>
                <c:pt idx="2">
                  <c:v>7.7799999999999994</c:v>
                </c:pt>
                <c:pt idx="3">
                  <c:v>-1.6999999999999993</c:v>
                </c:pt>
                <c:pt idx="4">
                  <c:v>1.5999999999999996</c:v>
                </c:pt>
                <c:pt idx="5">
                  <c:v>-9.9999999999997868E-3</c:v>
                </c:pt>
                <c:pt idx="6">
                  <c:v>-1.3599999999999999</c:v>
                </c:pt>
                <c:pt idx="7">
                  <c:v>0.45999999999999996</c:v>
                </c:pt>
                <c:pt idx="8">
                  <c:v>1.6000000000000005</c:v>
                </c:pt>
                <c:pt idx="9">
                  <c:v>-0.69000000000000039</c:v>
                </c:pt>
                <c:pt idx="10">
                  <c:v>1.4100000000000001</c:v>
                </c:pt>
                <c:pt idx="11">
                  <c:v>1.17</c:v>
                </c:pt>
                <c:pt idx="12">
                  <c:v>0.5</c:v>
                </c:pt>
                <c:pt idx="13">
                  <c:v>0.41999999999999993</c:v>
                </c:pt>
                <c:pt idx="14">
                  <c:v>0.45000000000000018</c:v>
                </c:pt>
                <c:pt idx="15">
                  <c:v>4.1100000000000003</c:v>
                </c:pt>
                <c:pt idx="16">
                  <c:v>-0.62999999999999989</c:v>
                </c:pt>
                <c:pt idx="17">
                  <c:v>-1.9100000000000001</c:v>
                </c:pt>
                <c:pt idx="18">
                  <c:v>-0.20999999999999996</c:v>
                </c:pt>
                <c:pt idx="19">
                  <c:v>0.29999999999999982</c:v>
                </c:pt>
                <c:pt idx="20">
                  <c:v>0.91999999999999948</c:v>
                </c:pt>
                <c:pt idx="21">
                  <c:v>6.74</c:v>
                </c:pt>
                <c:pt idx="22">
                  <c:v>0.76039999999999974</c:v>
                </c:pt>
                <c:pt idx="23">
                  <c:v>-0.66870000000000029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F-4D1C-922C-F1FCFDCB2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65756624"/>
        <c:axId val="465757456"/>
      </c:barChart>
      <c:lineChart>
        <c:grouping val="standard"/>
        <c:varyColors val="0"/>
        <c:ser>
          <c:idx val="1"/>
          <c:order val="1"/>
          <c:spPr>
            <a:ln w="158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'SGS vs FOCUS 2'!$D$5:$D$28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numCache>
            </c:numRef>
          </c:cat>
          <c:val>
            <c:numRef>
              <c:f>'SGS vs FOCUS 2'!$I$5:$I$28</c:f>
              <c:numCache>
                <c:formatCode>0.0</c:formatCode>
                <c:ptCount val="24"/>
                <c:pt idx="0">
                  <c:v>1.0456695652173913</c:v>
                </c:pt>
                <c:pt idx="1">
                  <c:v>1.0456695652173913</c:v>
                </c:pt>
                <c:pt idx="2">
                  <c:v>1.0456695652173913</c:v>
                </c:pt>
                <c:pt idx="3">
                  <c:v>1.0456695652173913</c:v>
                </c:pt>
                <c:pt idx="4">
                  <c:v>1.0456695652173913</c:v>
                </c:pt>
                <c:pt idx="5">
                  <c:v>1.0456695652173913</c:v>
                </c:pt>
                <c:pt idx="6">
                  <c:v>1.0456695652173913</c:v>
                </c:pt>
                <c:pt idx="7">
                  <c:v>1.0456695652173913</c:v>
                </c:pt>
                <c:pt idx="8">
                  <c:v>1.0456695652173913</c:v>
                </c:pt>
                <c:pt idx="9">
                  <c:v>1.0456695652173913</c:v>
                </c:pt>
                <c:pt idx="10">
                  <c:v>1.0456695652173913</c:v>
                </c:pt>
                <c:pt idx="11">
                  <c:v>1.0456695652173913</c:v>
                </c:pt>
                <c:pt idx="12">
                  <c:v>1.0456695652173913</c:v>
                </c:pt>
                <c:pt idx="13">
                  <c:v>1.0456695652173913</c:v>
                </c:pt>
                <c:pt idx="14">
                  <c:v>1.0456695652173913</c:v>
                </c:pt>
                <c:pt idx="15">
                  <c:v>1.0456695652173913</c:v>
                </c:pt>
                <c:pt idx="16">
                  <c:v>1.0456695652173913</c:v>
                </c:pt>
                <c:pt idx="17">
                  <c:v>1.0456695652173913</c:v>
                </c:pt>
                <c:pt idx="18">
                  <c:v>1.0456695652173913</c:v>
                </c:pt>
                <c:pt idx="19">
                  <c:v>1.0456695652173913</c:v>
                </c:pt>
                <c:pt idx="20">
                  <c:v>1.0456695652173913</c:v>
                </c:pt>
                <c:pt idx="21">
                  <c:v>1.0456695652173913</c:v>
                </c:pt>
                <c:pt idx="22">
                  <c:v>1.0456695652173913</c:v>
                </c:pt>
                <c:pt idx="23">
                  <c:v>1.0456695652173913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8C-4AA1-A144-9C7685180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756624"/>
        <c:axId val="465757456"/>
      </c:lineChart>
      <c:catAx>
        <c:axId val="46575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7456"/>
        <c:crosses val="autoZero"/>
        <c:auto val="1"/>
        <c:lblAlgn val="ctr"/>
        <c:lblOffset val="100"/>
        <c:tickLblSkip val="3"/>
        <c:noMultiLvlLbl val="0"/>
      </c:catAx>
      <c:valAx>
        <c:axId val="46575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/>
                  <a:t>p.p.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PIB Anual: erro de previsão</a:t>
            </a:r>
            <a:r>
              <a:rPr lang="pt-BR" b="1" baseline="0"/>
              <a:t> do primeiro FOCUS de cada ano</a:t>
            </a:r>
            <a:br>
              <a:rPr lang="pt-BR" b="1"/>
            </a:br>
            <a:r>
              <a:rPr lang="pt-BR"/>
              <a:t>(realizado - mediana</a:t>
            </a:r>
            <a:r>
              <a:rPr lang="pt-BR" baseline="0"/>
              <a:t> das </a:t>
            </a:r>
            <a:r>
              <a:rPr lang="pt-BR"/>
              <a:t>previsões)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91126738967554E-2"/>
          <c:y val="0.20338139024703314"/>
          <c:w val="0.89709914711341987"/>
          <c:h val="0.6153987304106328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2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1E8B-4F91-886C-1A66A83384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'SGS vs FOCUS 2'!$D$35:$D$58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numCache>
            </c:numRef>
          </c:cat>
          <c:val>
            <c:numRef>
              <c:f>'SGS vs FOCUS 2'!$H$35:$H$58</c:f>
              <c:numCache>
                <c:formatCode>0.0</c:formatCode>
                <c:ptCount val="24"/>
                <c:pt idx="0">
                  <c:v>1.3899999999999997</c:v>
                </c:pt>
                <c:pt idx="1">
                  <c:v>-2.6100000000000003</c:v>
                </c:pt>
                <c:pt idx="2">
                  <c:v>0.64999999999999991</c:v>
                </c:pt>
                <c:pt idx="3">
                  <c:v>-0.81</c:v>
                </c:pt>
                <c:pt idx="4">
                  <c:v>2.21</c:v>
                </c:pt>
                <c:pt idx="5">
                  <c:v>-0.39999999999999991</c:v>
                </c:pt>
                <c:pt idx="6">
                  <c:v>0.45999999999999996</c:v>
                </c:pt>
                <c:pt idx="7">
                  <c:v>2.5700000000000003</c:v>
                </c:pt>
                <c:pt idx="8">
                  <c:v>0.58999999999999986</c:v>
                </c:pt>
                <c:pt idx="9">
                  <c:v>-2.5299999999999998</c:v>
                </c:pt>
                <c:pt idx="10">
                  <c:v>2.38</c:v>
                </c:pt>
                <c:pt idx="11">
                  <c:v>-0.5299999999999998</c:v>
                </c:pt>
                <c:pt idx="12">
                  <c:v>-1.38</c:v>
                </c:pt>
                <c:pt idx="13">
                  <c:v>-0.29999999999999982</c:v>
                </c:pt>
                <c:pt idx="14">
                  <c:v>-1.49</c:v>
                </c:pt>
                <c:pt idx="15">
                  <c:v>-4.05</c:v>
                </c:pt>
                <c:pt idx="16">
                  <c:v>-0.32999999999999963</c:v>
                </c:pt>
                <c:pt idx="17">
                  <c:v>0.82000000000000006</c:v>
                </c:pt>
                <c:pt idx="18">
                  <c:v>-0.90999999999999992</c:v>
                </c:pt>
                <c:pt idx="19">
                  <c:v>-1.3099999999999998</c:v>
                </c:pt>
                <c:pt idx="20">
                  <c:v>-5.58</c:v>
                </c:pt>
                <c:pt idx="21">
                  <c:v>1.5900000000000003</c:v>
                </c:pt>
                <c:pt idx="22">
                  <c:v>2.6</c:v>
                </c:pt>
                <c:pt idx="23">
                  <c:v>2.0991999999999997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47-4199-A856-7EF3B2ECD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65756624"/>
        <c:axId val="465757456"/>
      </c:barChart>
      <c:catAx>
        <c:axId val="46575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7456"/>
        <c:crosses val="autoZero"/>
        <c:auto val="1"/>
        <c:lblAlgn val="ctr"/>
        <c:lblOffset val="100"/>
        <c:tickLblSkip val="3"/>
        <c:noMultiLvlLbl val="0"/>
      </c:catAx>
      <c:valAx>
        <c:axId val="46575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/>
                  <a:t>p.p.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PIB Industrial: erro de previsão</a:t>
            </a:r>
            <a:r>
              <a:rPr lang="pt-BR" b="1" baseline="0"/>
              <a:t> do primeiro FOCUS de cada ano</a:t>
            </a:r>
            <a:br>
              <a:rPr lang="pt-BR" b="1"/>
            </a:br>
            <a:r>
              <a:rPr lang="pt-BR"/>
              <a:t>(realizado - mediana</a:t>
            </a:r>
            <a:r>
              <a:rPr lang="pt-BR" baseline="0"/>
              <a:t> das </a:t>
            </a:r>
            <a:r>
              <a:rPr lang="pt-BR"/>
              <a:t>previsões)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91126738967554E-2"/>
          <c:y val="0.20338139024703314"/>
          <c:w val="0.89709914711341987"/>
          <c:h val="0.6153987304106328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2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A533-4AE8-A19C-C9034647A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'SGS vs FOCUS 2'!$D$66:$D$89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numCache>
            </c:numRef>
          </c:cat>
          <c:val>
            <c:numRef>
              <c:f>'SGS vs FOCUS 2'!$H$66:$H$89</c:f>
              <c:numCache>
                <c:formatCode>0.0</c:formatCode>
                <c:ptCount val="24"/>
                <c:pt idx="1">
                  <c:v>-5.64</c:v>
                </c:pt>
                <c:pt idx="2">
                  <c:v>2.0999999999999996</c:v>
                </c:pt>
                <c:pt idx="3">
                  <c:v>-1.9</c:v>
                </c:pt>
                <c:pt idx="4">
                  <c:v>3.7100000000000009</c:v>
                </c:pt>
                <c:pt idx="5">
                  <c:v>-2.41</c:v>
                </c:pt>
                <c:pt idx="6">
                  <c:v>-1.9900000000000002</c:v>
                </c:pt>
                <c:pt idx="7">
                  <c:v>2.21</c:v>
                </c:pt>
                <c:pt idx="8">
                  <c:v>-0.40000000000000036</c:v>
                </c:pt>
                <c:pt idx="9">
                  <c:v>-6.9</c:v>
                </c:pt>
                <c:pt idx="10">
                  <c:v>4.3999999999999995</c:v>
                </c:pt>
                <c:pt idx="11">
                  <c:v>-0.88999999999999968</c:v>
                </c:pt>
                <c:pt idx="12">
                  <c:v>-3.7199999999999998</c:v>
                </c:pt>
                <c:pt idx="13">
                  <c:v>-1.1800000000000002</c:v>
                </c:pt>
                <c:pt idx="14">
                  <c:v>-3.5300000000000002</c:v>
                </c:pt>
                <c:pt idx="15">
                  <c:v>-6.59</c:v>
                </c:pt>
                <c:pt idx="16">
                  <c:v>-0.8100000000000005</c:v>
                </c:pt>
                <c:pt idx="17">
                  <c:v>-1.1800000000000002</c:v>
                </c:pt>
                <c:pt idx="18">
                  <c:v>-2.4900000000000002</c:v>
                </c:pt>
                <c:pt idx="19">
                  <c:v>-3.4699999999999998</c:v>
                </c:pt>
                <c:pt idx="20">
                  <c:v>-5.42</c:v>
                </c:pt>
                <c:pt idx="21">
                  <c:v>0.64000000000000057</c:v>
                </c:pt>
                <c:pt idx="22">
                  <c:v>1.4200000000000002</c:v>
                </c:pt>
                <c:pt idx="23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EB-4995-A7FC-F4AB6F0FA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65756624"/>
        <c:axId val="465757456"/>
      </c:barChart>
      <c:catAx>
        <c:axId val="46575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7456"/>
        <c:crosses val="autoZero"/>
        <c:auto val="1"/>
        <c:lblAlgn val="ctr"/>
        <c:lblOffset val="100"/>
        <c:tickLblSkip val="3"/>
        <c:noMultiLvlLbl val="0"/>
      </c:catAx>
      <c:valAx>
        <c:axId val="46575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/>
                  <a:t>p.p.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PIB Agropecuária: erro de previsão</a:t>
            </a:r>
            <a:r>
              <a:rPr lang="pt-BR" b="1" baseline="0"/>
              <a:t> do primeiro FOCUS de cada ano</a:t>
            </a:r>
            <a:br>
              <a:rPr lang="pt-BR" b="1"/>
            </a:br>
            <a:r>
              <a:rPr lang="pt-BR"/>
              <a:t>(realizado - mediana</a:t>
            </a:r>
            <a:r>
              <a:rPr lang="pt-BR" baseline="0"/>
              <a:t> das </a:t>
            </a:r>
            <a:r>
              <a:rPr lang="pt-BR"/>
              <a:t>previsões)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91126738967554E-2"/>
          <c:y val="0.20338139024703314"/>
          <c:w val="0.89709914711341987"/>
          <c:h val="0.6153987304106328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2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19ED-49ED-BD79-F2F6C9F1F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'SGS vs FOCUS 2'!$D$96:$D$119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numCache>
            </c:numRef>
          </c:cat>
          <c:val>
            <c:numRef>
              <c:f>'SGS vs FOCUS 2'!$H$96:$H$119</c:f>
              <c:numCache>
                <c:formatCode>0.0</c:formatCode>
                <c:ptCount val="24"/>
                <c:pt idx="1">
                  <c:v>0.70000000000000018</c:v>
                </c:pt>
                <c:pt idx="2">
                  <c:v>5.0199999999999996</c:v>
                </c:pt>
                <c:pt idx="3">
                  <c:v>4.4600000000000009</c:v>
                </c:pt>
                <c:pt idx="4">
                  <c:v>-2.4000000000000004</c:v>
                </c:pt>
                <c:pt idx="5">
                  <c:v>-2.88</c:v>
                </c:pt>
                <c:pt idx="6">
                  <c:v>1.0399999999999996</c:v>
                </c:pt>
                <c:pt idx="7">
                  <c:v>-0.24000000000000021</c:v>
                </c:pt>
                <c:pt idx="8">
                  <c:v>1.0199999999999996</c:v>
                </c:pt>
                <c:pt idx="9">
                  <c:v>-6.23</c:v>
                </c:pt>
                <c:pt idx="10">
                  <c:v>2.7</c:v>
                </c:pt>
                <c:pt idx="11">
                  <c:v>1.1399999999999997</c:v>
                </c:pt>
                <c:pt idx="12">
                  <c:v>-6.87</c:v>
                </c:pt>
                <c:pt idx="13">
                  <c:v>4.26</c:v>
                </c:pt>
                <c:pt idx="14">
                  <c:v>-0.20999999999999996</c:v>
                </c:pt>
                <c:pt idx="15">
                  <c:v>1.23</c:v>
                </c:pt>
                <c:pt idx="16">
                  <c:v>-7.13</c:v>
                </c:pt>
                <c:pt idx="17">
                  <c:v>10.780000000000001</c:v>
                </c:pt>
                <c:pt idx="18">
                  <c:v>1.74</c:v>
                </c:pt>
                <c:pt idx="19">
                  <c:v>-2.15</c:v>
                </c:pt>
                <c:pt idx="20">
                  <c:v>1.2199999999999998</c:v>
                </c:pt>
                <c:pt idx="21">
                  <c:v>-1.95</c:v>
                </c:pt>
                <c:pt idx="22">
                  <c:v>-4.24</c:v>
                </c:pt>
                <c:pt idx="23">
                  <c:v>8.1300000000000008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2-4AD3-A6CE-54CD73F5F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65756624"/>
        <c:axId val="465757456"/>
      </c:barChart>
      <c:catAx>
        <c:axId val="46575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7456"/>
        <c:crosses val="autoZero"/>
        <c:auto val="1"/>
        <c:lblAlgn val="ctr"/>
        <c:lblOffset val="100"/>
        <c:tickLblSkip val="3"/>
        <c:noMultiLvlLbl val="0"/>
      </c:catAx>
      <c:valAx>
        <c:axId val="46575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/>
                  <a:t>p.p.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PIB Serviços: erro de previsão</a:t>
            </a:r>
            <a:r>
              <a:rPr lang="pt-BR" b="1" baseline="0"/>
              <a:t> do primeiro FOCUS de cada ano</a:t>
            </a:r>
            <a:br>
              <a:rPr lang="pt-BR" b="1"/>
            </a:br>
            <a:r>
              <a:rPr lang="pt-BR"/>
              <a:t>(realizado - mediana</a:t>
            </a:r>
            <a:r>
              <a:rPr lang="pt-BR" baseline="0"/>
              <a:t> das </a:t>
            </a:r>
            <a:r>
              <a:rPr lang="pt-BR"/>
              <a:t>previsões)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91126738967554E-2"/>
          <c:y val="0.20338139024703314"/>
          <c:w val="0.89709914711341987"/>
          <c:h val="0.6153987304106328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23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421A-4CCD-8291-D3B2E3C9C9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'SGS vs FOCUS 2'!$D$128:$D$151</c:f>
              <c:numCache>
                <c:formatCode>General</c:formatCod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numCache>
            </c:numRef>
          </c:cat>
          <c:val>
            <c:numRef>
              <c:f>'SGS vs FOCUS 2'!$H$128:$H$151</c:f>
              <c:numCache>
                <c:formatCode>0.0</c:formatCode>
                <c:ptCount val="24"/>
                <c:pt idx="1">
                  <c:v>-1.44</c:v>
                </c:pt>
                <c:pt idx="2">
                  <c:v>0.82000000000000028</c:v>
                </c:pt>
                <c:pt idx="3">
                  <c:v>-0.90999999999999992</c:v>
                </c:pt>
                <c:pt idx="4">
                  <c:v>2.46</c:v>
                </c:pt>
                <c:pt idx="5">
                  <c:v>0.86000000000000032</c:v>
                </c:pt>
                <c:pt idx="6">
                  <c:v>1.63</c:v>
                </c:pt>
                <c:pt idx="7">
                  <c:v>2.83</c:v>
                </c:pt>
                <c:pt idx="8">
                  <c:v>0.52000000000000046</c:v>
                </c:pt>
                <c:pt idx="9">
                  <c:v>-0.43000000000000016</c:v>
                </c:pt>
                <c:pt idx="10">
                  <c:v>1.3999999999999995</c:v>
                </c:pt>
                <c:pt idx="11">
                  <c:v>-0.92999999999999972</c:v>
                </c:pt>
                <c:pt idx="12">
                  <c:v>-0.80000000000000027</c:v>
                </c:pt>
                <c:pt idx="13">
                  <c:v>-0.75</c:v>
                </c:pt>
                <c:pt idx="14">
                  <c:v>-1.01</c:v>
                </c:pt>
                <c:pt idx="15">
                  <c:v>-3.44</c:v>
                </c:pt>
                <c:pt idx="16">
                  <c:v>-2.0000000000000018E-2</c:v>
                </c:pt>
                <c:pt idx="17">
                  <c:v>0.77</c:v>
                </c:pt>
                <c:pt idx="18">
                  <c:v>-0.38000000000000034</c:v>
                </c:pt>
                <c:pt idx="19">
                  <c:v>-0.69000000000000017</c:v>
                </c:pt>
                <c:pt idx="20">
                  <c:v>-5.84</c:v>
                </c:pt>
                <c:pt idx="21">
                  <c:v>1.92</c:v>
                </c:pt>
                <c:pt idx="22">
                  <c:v>3.8600000000000003</c:v>
                </c:pt>
                <c:pt idx="23">
                  <c:v>1.2958000000000001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5E-4A1F-AF83-5A4AD032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65756624"/>
        <c:axId val="465757456"/>
      </c:barChart>
      <c:catAx>
        <c:axId val="46575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7456"/>
        <c:crosses val="autoZero"/>
        <c:auto val="1"/>
        <c:lblAlgn val="ctr"/>
        <c:lblOffset val="100"/>
        <c:tickLblSkip val="3"/>
        <c:noMultiLvlLbl val="0"/>
      </c:catAx>
      <c:valAx>
        <c:axId val="46575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/>
                  <a:t>p.p.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575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4C52A2-5947-4FB5-8970-B845D519DC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409013</xdr:colOff>
      <xdr:row>3</xdr:row>
      <xdr:rowOff>135590</xdr:rowOff>
    </xdr:from>
    <xdr:to>
      <xdr:col>21</xdr:col>
      <xdr:colOff>504265</xdr:colOff>
      <xdr:row>25</xdr:row>
      <xdr:rowOff>112059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4B5589-A5CA-4315-A50A-ED08FD872F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409013</xdr:colOff>
      <xdr:row>33</xdr:row>
      <xdr:rowOff>135590</xdr:rowOff>
    </xdr:from>
    <xdr:to>
      <xdr:col>21</xdr:col>
      <xdr:colOff>504265</xdr:colOff>
      <xdr:row>55</xdr:row>
      <xdr:rowOff>112059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C55B883-F9F2-4F4B-96FE-41108D99F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409013</xdr:colOff>
      <xdr:row>64</xdr:row>
      <xdr:rowOff>135590</xdr:rowOff>
    </xdr:from>
    <xdr:to>
      <xdr:col>21</xdr:col>
      <xdr:colOff>504265</xdr:colOff>
      <xdr:row>86</xdr:row>
      <xdr:rowOff>112059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71F2000-85EA-49A6-A1FA-3260359ED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409013</xdr:colOff>
      <xdr:row>94</xdr:row>
      <xdr:rowOff>135590</xdr:rowOff>
    </xdr:from>
    <xdr:to>
      <xdr:col>21</xdr:col>
      <xdr:colOff>504265</xdr:colOff>
      <xdr:row>116</xdr:row>
      <xdr:rowOff>112059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A5EED09-A469-4E89-A410-3BA759AFA4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409013</xdr:colOff>
      <xdr:row>126</xdr:row>
      <xdr:rowOff>135590</xdr:rowOff>
    </xdr:from>
    <xdr:to>
      <xdr:col>21</xdr:col>
      <xdr:colOff>504265</xdr:colOff>
      <xdr:row>148</xdr:row>
      <xdr:rowOff>112059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1623677-46BA-41E1-80B0-B1AC494DF6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0.00691</cdr:x>
      <cdr:y>0.92035</cdr:y>
    </cdr:from>
    <cdr:to>
      <cdr:x>0.64004</cdr:x>
      <cdr:y>0.98704</cdr:y>
    </cdr:to>
    <cdr:sp macro="" textlink="">
      <cdr:nvSpPr>
        <cdr:cNvPr id="4" name="CaixaDeTexto 1">
          <a:extLst xmlns:a="http://schemas.openxmlformats.org/drawingml/2006/main">
            <a:ext uri="{FF2B5EF4-FFF2-40B4-BE49-F238E27FC236}">
              <a16:creationId xmlns:a16="http://schemas.microsoft.com/office/drawing/2014/main" id="{D4ACCBEC-B1E8-4AB6-A43D-622BB218EA04}"/>
            </a:ext>
          </a:extLst>
        </cdr:cNvPr>
        <cdr:cNvSpPr txBox="1"/>
      </cdr:nvSpPr>
      <cdr:spPr>
        <a:xfrm xmlns:a="http://schemas.openxmlformats.org/drawingml/2006/main">
          <a:off x="50800" y="3154834"/>
          <a:ext cx="4657751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Source: xlFOCUS with data from the BCB's Focus survey</a:t>
          </a:r>
        </a:p>
      </cdr:txBody>
    </cdr:sp>
  </cdr:relSizeAnchor>
  <cdr:relSizeAnchor xmlns:cdr="http://schemas.openxmlformats.org/drawingml/2006/chartDrawing">
    <cdr:from>
      <cdr:x>0.67373</cdr:x>
      <cdr:y>0.92035</cdr:y>
    </cdr:from>
    <cdr:to>
      <cdr:x>1</cdr:x>
      <cdr:y>0.98704</cdr:y>
    </cdr:to>
    <cdr:sp macro="" textlink="">
      <cdr:nvSpPr>
        <cdr:cNvPr id="5" name="CaixaDeTexto 1">
          <a:extLst xmlns:a="http://schemas.openxmlformats.org/drawingml/2006/main">
            <a:ext uri="{FF2B5EF4-FFF2-40B4-BE49-F238E27FC236}">
              <a16:creationId xmlns:a16="http://schemas.microsoft.com/office/drawing/2014/main" id="{5A88B70F-40BD-41A4-A110-DE6185385F4C}"/>
            </a:ext>
          </a:extLst>
        </cdr:cNvPr>
        <cdr:cNvSpPr txBox="1"/>
      </cdr:nvSpPr>
      <cdr:spPr>
        <a:xfrm xmlns:a="http://schemas.openxmlformats.org/drawingml/2006/main">
          <a:off x="4956401" y="3154834"/>
          <a:ext cx="2400263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https://github.com/edugca/xlFOCUS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0.00691</cdr:x>
      <cdr:y>0.92035</cdr:y>
    </cdr:from>
    <cdr:to>
      <cdr:x>0.64004</cdr:x>
      <cdr:y>0.98704</cdr:y>
    </cdr:to>
    <cdr:sp macro="" textlink="">
      <cdr:nvSpPr>
        <cdr:cNvPr id="4" name="CaixaDeTexto 1">
          <a:extLst xmlns:a="http://schemas.openxmlformats.org/drawingml/2006/main">
            <a:ext uri="{FF2B5EF4-FFF2-40B4-BE49-F238E27FC236}">
              <a16:creationId xmlns:a16="http://schemas.microsoft.com/office/drawing/2014/main" id="{D4ACCBEC-B1E8-4AB6-A43D-622BB218EA04}"/>
            </a:ext>
          </a:extLst>
        </cdr:cNvPr>
        <cdr:cNvSpPr txBox="1"/>
      </cdr:nvSpPr>
      <cdr:spPr>
        <a:xfrm xmlns:a="http://schemas.openxmlformats.org/drawingml/2006/main">
          <a:off x="50800" y="3154834"/>
          <a:ext cx="4657751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Source: xlFOCUS with data from the BCB's Focus survey</a:t>
          </a:r>
        </a:p>
      </cdr:txBody>
    </cdr:sp>
  </cdr:relSizeAnchor>
  <cdr:relSizeAnchor xmlns:cdr="http://schemas.openxmlformats.org/drawingml/2006/chartDrawing">
    <cdr:from>
      <cdr:x>0.67373</cdr:x>
      <cdr:y>0.92035</cdr:y>
    </cdr:from>
    <cdr:to>
      <cdr:x>1</cdr:x>
      <cdr:y>0.98704</cdr:y>
    </cdr:to>
    <cdr:sp macro="" textlink="">
      <cdr:nvSpPr>
        <cdr:cNvPr id="5" name="CaixaDeTexto 1">
          <a:extLst xmlns:a="http://schemas.openxmlformats.org/drawingml/2006/main">
            <a:ext uri="{FF2B5EF4-FFF2-40B4-BE49-F238E27FC236}">
              <a16:creationId xmlns:a16="http://schemas.microsoft.com/office/drawing/2014/main" id="{5A88B70F-40BD-41A4-A110-DE6185385F4C}"/>
            </a:ext>
          </a:extLst>
        </cdr:cNvPr>
        <cdr:cNvSpPr txBox="1"/>
      </cdr:nvSpPr>
      <cdr:spPr>
        <a:xfrm xmlns:a="http://schemas.openxmlformats.org/drawingml/2006/main">
          <a:off x="4956401" y="3154834"/>
          <a:ext cx="2400263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https://github.com/edugca/xlFOCUS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0.00691</cdr:x>
      <cdr:y>0.92035</cdr:y>
    </cdr:from>
    <cdr:to>
      <cdr:x>0.64004</cdr:x>
      <cdr:y>0.98704</cdr:y>
    </cdr:to>
    <cdr:sp macro="" textlink="">
      <cdr:nvSpPr>
        <cdr:cNvPr id="4" name="CaixaDeTexto 1">
          <a:extLst xmlns:a="http://schemas.openxmlformats.org/drawingml/2006/main">
            <a:ext uri="{FF2B5EF4-FFF2-40B4-BE49-F238E27FC236}">
              <a16:creationId xmlns:a16="http://schemas.microsoft.com/office/drawing/2014/main" id="{D4ACCBEC-B1E8-4AB6-A43D-622BB218EA04}"/>
            </a:ext>
          </a:extLst>
        </cdr:cNvPr>
        <cdr:cNvSpPr txBox="1"/>
      </cdr:nvSpPr>
      <cdr:spPr>
        <a:xfrm xmlns:a="http://schemas.openxmlformats.org/drawingml/2006/main">
          <a:off x="50800" y="3154834"/>
          <a:ext cx="4657751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Source: xlFOCUS with data from the BCB's Focus survey</a:t>
          </a:r>
        </a:p>
      </cdr:txBody>
    </cdr:sp>
  </cdr:relSizeAnchor>
  <cdr:relSizeAnchor xmlns:cdr="http://schemas.openxmlformats.org/drawingml/2006/chartDrawing">
    <cdr:from>
      <cdr:x>0.67373</cdr:x>
      <cdr:y>0.92035</cdr:y>
    </cdr:from>
    <cdr:to>
      <cdr:x>1</cdr:x>
      <cdr:y>0.98704</cdr:y>
    </cdr:to>
    <cdr:sp macro="" textlink="">
      <cdr:nvSpPr>
        <cdr:cNvPr id="5" name="CaixaDeTexto 1">
          <a:extLst xmlns:a="http://schemas.openxmlformats.org/drawingml/2006/main">
            <a:ext uri="{FF2B5EF4-FFF2-40B4-BE49-F238E27FC236}">
              <a16:creationId xmlns:a16="http://schemas.microsoft.com/office/drawing/2014/main" id="{5A88B70F-40BD-41A4-A110-DE6185385F4C}"/>
            </a:ext>
          </a:extLst>
        </cdr:cNvPr>
        <cdr:cNvSpPr txBox="1"/>
      </cdr:nvSpPr>
      <cdr:spPr>
        <a:xfrm xmlns:a="http://schemas.openxmlformats.org/drawingml/2006/main">
          <a:off x="4956401" y="3154834"/>
          <a:ext cx="2400263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https://github.com/edugca/xlFOCUS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0.00691</cdr:x>
      <cdr:y>0.92035</cdr:y>
    </cdr:from>
    <cdr:to>
      <cdr:x>0.64004</cdr:x>
      <cdr:y>0.98704</cdr:y>
    </cdr:to>
    <cdr:sp macro="" textlink="">
      <cdr:nvSpPr>
        <cdr:cNvPr id="4" name="CaixaDeTexto 1">
          <a:extLst xmlns:a="http://schemas.openxmlformats.org/drawingml/2006/main">
            <a:ext uri="{FF2B5EF4-FFF2-40B4-BE49-F238E27FC236}">
              <a16:creationId xmlns:a16="http://schemas.microsoft.com/office/drawing/2014/main" id="{D4ACCBEC-B1E8-4AB6-A43D-622BB218EA04}"/>
            </a:ext>
          </a:extLst>
        </cdr:cNvPr>
        <cdr:cNvSpPr txBox="1"/>
      </cdr:nvSpPr>
      <cdr:spPr>
        <a:xfrm xmlns:a="http://schemas.openxmlformats.org/drawingml/2006/main">
          <a:off x="50800" y="3154834"/>
          <a:ext cx="4657751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Source: xlFOCUS with data from the BCB's Focus survey</a:t>
          </a:r>
        </a:p>
      </cdr:txBody>
    </cdr:sp>
  </cdr:relSizeAnchor>
  <cdr:relSizeAnchor xmlns:cdr="http://schemas.openxmlformats.org/drawingml/2006/chartDrawing">
    <cdr:from>
      <cdr:x>0.67373</cdr:x>
      <cdr:y>0.92035</cdr:y>
    </cdr:from>
    <cdr:to>
      <cdr:x>1</cdr:x>
      <cdr:y>0.98704</cdr:y>
    </cdr:to>
    <cdr:sp macro="" textlink="">
      <cdr:nvSpPr>
        <cdr:cNvPr id="5" name="CaixaDeTexto 1">
          <a:extLst xmlns:a="http://schemas.openxmlformats.org/drawingml/2006/main">
            <a:ext uri="{FF2B5EF4-FFF2-40B4-BE49-F238E27FC236}">
              <a16:creationId xmlns:a16="http://schemas.microsoft.com/office/drawing/2014/main" id="{5A88B70F-40BD-41A4-A110-DE6185385F4C}"/>
            </a:ext>
          </a:extLst>
        </cdr:cNvPr>
        <cdr:cNvSpPr txBox="1"/>
      </cdr:nvSpPr>
      <cdr:spPr>
        <a:xfrm xmlns:a="http://schemas.openxmlformats.org/drawingml/2006/main">
          <a:off x="4956401" y="3154834"/>
          <a:ext cx="2400263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https://github.com/edugca/xlFOCUS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0.00691</cdr:x>
      <cdr:y>0.92035</cdr:y>
    </cdr:from>
    <cdr:to>
      <cdr:x>0.64004</cdr:x>
      <cdr:y>0.98704</cdr:y>
    </cdr:to>
    <cdr:sp macro="" textlink="">
      <cdr:nvSpPr>
        <cdr:cNvPr id="4" name="CaixaDeTexto 1">
          <a:extLst xmlns:a="http://schemas.openxmlformats.org/drawingml/2006/main">
            <a:ext uri="{FF2B5EF4-FFF2-40B4-BE49-F238E27FC236}">
              <a16:creationId xmlns:a16="http://schemas.microsoft.com/office/drawing/2014/main" id="{D4ACCBEC-B1E8-4AB6-A43D-622BB218EA04}"/>
            </a:ext>
          </a:extLst>
        </cdr:cNvPr>
        <cdr:cNvSpPr txBox="1"/>
      </cdr:nvSpPr>
      <cdr:spPr>
        <a:xfrm xmlns:a="http://schemas.openxmlformats.org/drawingml/2006/main">
          <a:off x="50800" y="3154834"/>
          <a:ext cx="4657751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Source: xlFOCUS with data from the BCB's Focus survey</a:t>
          </a:r>
        </a:p>
      </cdr:txBody>
    </cdr:sp>
  </cdr:relSizeAnchor>
  <cdr:relSizeAnchor xmlns:cdr="http://schemas.openxmlformats.org/drawingml/2006/chartDrawing">
    <cdr:from>
      <cdr:x>0.67373</cdr:x>
      <cdr:y>0.92035</cdr:y>
    </cdr:from>
    <cdr:to>
      <cdr:x>1</cdr:x>
      <cdr:y>0.98704</cdr:y>
    </cdr:to>
    <cdr:sp macro="" textlink="">
      <cdr:nvSpPr>
        <cdr:cNvPr id="5" name="CaixaDeTexto 1">
          <a:extLst xmlns:a="http://schemas.openxmlformats.org/drawingml/2006/main">
            <a:ext uri="{FF2B5EF4-FFF2-40B4-BE49-F238E27FC236}">
              <a16:creationId xmlns:a16="http://schemas.microsoft.com/office/drawing/2014/main" id="{5A88B70F-40BD-41A4-A110-DE6185385F4C}"/>
            </a:ext>
          </a:extLst>
        </cdr:cNvPr>
        <cdr:cNvSpPr txBox="1"/>
      </cdr:nvSpPr>
      <cdr:spPr>
        <a:xfrm xmlns:a="http://schemas.openxmlformats.org/drawingml/2006/main">
          <a:off x="4956401" y="3154834"/>
          <a:ext cx="2400263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ysClr val="windowText" lastClr="000000"/>
              </a:solidFill>
            </a:rPr>
            <a:t>https://github.com/edugca/xlFOCUS</a:t>
          </a:r>
        </a:p>
      </cdr:txBody>
    </cdr:sp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8566A-6697-493E-B291-7D99AE2EBCA4}">
  <sheetPr codeName="Planilha4"/>
  <dimension ref="A1:P461"/>
  <sheetViews>
    <sheetView workbookViewId="0">
      <selection activeCell="H3" sqref="H3"/>
    </sheetView>
  </sheetViews>
  <sheetFormatPr defaultColWidth="9" defaultRowHeight="12.75" x14ac:dyDescent="0.2"/>
  <cols>
    <col min="1" max="1" width="32" style="2" customWidth="1"/>
    <col min="2" max="2" width="12.42578125" style="2" customWidth="1"/>
    <col min="3" max="3" width="8.85546875" style="2" bestFit="1" customWidth="1"/>
    <col min="4" max="4" width="10.42578125" style="2" customWidth="1"/>
    <col min="5" max="8" width="9" style="2"/>
    <col min="9" max="9" width="13.7109375" style="2" bestFit="1" customWidth="1"/>
    <col min="10" max="16384" width="9" style="2"/>
  </cols>
  <sheetData>
    <row r="1" spans="1:16" ht="15.75" x14ac:dyDescent="0.25">
      <c r="A1" s="1" t="s">
        <v>0</v>
      </c>
      <c r="I1" s="3" t="s">
        <v>1</v>
      </c>
      <c r="J1" s="31" t="str">
        <f>"FOCUS forecast for "&amp;$B$3&amp;" of "&amp;PROPER(TEXT($B$5,"[$-409]aaaa"))</f>
        <v>FOCUS forecast for IPCA of 2023</v>
      </c>
      <c r="K1" s="32"/>
      <c r="L1" s="32"/>
      <c r="M1" s="32"/>
      <c r="N1" s="32"/>
      <c r="O1" s="32"/>
      <c r="P1" s="32"/>
    </row>
    <row r="3" spans="1:16" x14ac:dyDescent="0.2">
      <c r="A3" s="3" t="s">
        <v>2</v>
      </c>
      <c r="B3" s="4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16" x14ac:dyDescent="0.2">
      <c r="A4" s="3" t="s">
        <v>8</v>
      </c>
      <c r="B4" s="4"/>
      <c r="D4" s="5" cm="1">
        <f t="array" ref="D4:G308">xlFOCUS_ExpectativasAnuais(B3,B4,B5,B6,B7,B8,D3:G3)</f>
        <v>44564</v>
      </c>
      <c r="E4" s="2">
        <v>2.92</v>
      </c>
      <c r="F4" s="2">
        <v>3.5</v>
      </c>
      <c r="G4" s="2">
        <v>4.0999999999999996</v>
      </c>
    </row>
    <row r="5" spans="1:16" x14ac:dyDescent="0.2">
      <c r="A5" s="3" t="s">
        <v>9</v>
      </c>
      <c r="B5" s="6">
        <v>44927</v>
      </c>
      <c r="D5" s="5">
        <v>44565</v>
      </c>
      <c r="E5" s="2">
        <v>2.92</v>
      </c>
      <c r="F5" s="2">
        <v>3.31</v>
      </c>
      <c r="G5" s="2">
        <v>4.0999999999999996</v>
      </c>
    </row>
    <row r="6" spans="1:16" x14ac:dyDescent="0.2">
      <c r="A6" s="3" t="s">
        <v>10</v>
      </c>
      <c r="B6" s="6">
        <v>44562</v>
      </c>
      <c r="D6" s="5">
        <v>44566</v>
      </c>
      <c r="E6" s="2">
        <v>2.92</v>
      </c>
      <c r="F6" s="2">
        <v>3.3</v>
      </c>
      <c r="G6" s="2">
        <v>4.0999999999999996</v>
      </c>
    </row>
    <row r="7" spans="1:16" x14ac:dyDescent="0.2">
      <c r="A7" s="3" t="s">
        <v>11</v>
      </c>
      <c r="B7" s="6">
        <v>45005</v>
      </c>
      <c r="D7" s="5">
        <v>44567</v>
      </c>
      <c r="E7" s="2">
        <v>2.92</v>
      </c>
      <c r="F7" s="2">
        <v>3.2696000000000001</v>
      </c>
      <c r="G7" s="2">
        <v>4</v>
      </c>
    </row>
    <row r="8" spans="1:16" x14ac:dyDescent="0.2">
      <c r="A8" s="3" t="s">
        <v>12</v>
      </c>
      <c r="B8" s="4">
        <v>1</v>
      </c>
      <c r="D8" s="5">
        <v>44568</v>
      </c>
      <c r="E8" s="2">
        <v>2.92</v>
      </c>
      <c r="F8" s="2">
        <v>3.3086000000000002</v>
      </c>
      <c r="G8" s="2">
        <v>4.2693000000000003</v>
      </c>
    </row>
    <row r="9" spans="1:16" x14ac:dyDescent="0.2">
      <c r="D9" s="5">
        <v>44571</v>
      </c>
      <c r="E9" s="2">
        <v>2.92</v>
      </c>
      <c r="F9" s="2">
        <v>3.3441999999999998</v>
      </c>
      <c r="G9" s="2">
        <v>4.2693000000000003</v>
      </c>
    </row>
    <row r="10" spans="1:16" x14ac:dyDescent="0.2">
      <c r="D10" s="5">
        <v>44572</v>
      </c>
      <c r="E10" s="2">
        <v>2.92</v>
      </c>
      <c r="F10" s="2">
        <v>3.3</v>
      </c>
      <c r="G10" s="2">
        <v>4.2693000000000003</v>
      </c>
    </row>
    <row r="11" spans="1:16" x14ac:dyDescent="0.2">
      <c r="D11" s="5">
        <v>44573</v>
      </c>
      <c r="E11" s="2">
        <v>2.92</v>
      </c>
      <c r="F11" s="2">
        <v>3.3</v>
      </c>
      <c r="G11" s="2">
        <v>4.2693000000000003</v>
      </c>
    </row>
    <row r="12" spans="1:16" x14ac:dyDescent="0.2">
      <c r="D12" s="5">
        <v>44574</v>
      </c>
      <c r="E12" s="2">
        <v>2.92</v>
      </c>
      <c r="F12" s="2">
        <v>3.3</v>
      </c>
      <c r="G12" s="2">
        <v>4.2693000000000003</v>
      </c>
    </row>
    <row r="13" spans="1:16" x14ac:dyDescent="0.2">
      <c r="D13" s="5">
        <v>44575</v>
      </c>
      <c r="E13" s="2">
        <v>3</v>
      </c>
      <c r="F13" s="2">
        <v>3.3</v>
      </c>
      <c r="G13" s="2">
        <v>4.68</v>
      </c>
    </row>
    <row r="14" spans="1:16" x14ac:dyDescent="0.2">
      <c r="D14" s="5">
        <v>44578</v>
      </c>
      <c r="E14" s="2">
        <v>2.5</v>
      </c>
      <c r="F14" s="2">
        <v>3.3</v>
      </c>
      <c r="G14" s="2">
        <v>4.68</v>
      </c>
    </row>
    <row r="15" spans="1:16" x14ac:dyDescent="0.2">
      <c r="D15" s="5">
        <v>44579</v>
      </c>
      <c r="E15" s="2">
        <v>2.5</v>
      </c>
      <c r="F15" s="2">
        <v>3.33</v>
      </c>
      <c r="G15" s="2">
        <v>4.68</v>
      </c>
    </row>
    <row r="16" spans="1:16" x14ac:dyDescent="0.2">
      <c r="D16" s="5">
        <v>44580</v>
      </c>
      <c r="E16" s="2">
        <v>2.5</v>
      </c>
      <c r="F16" s="2">
        <v>3.33</v>
      </c>
      <c r="G16" s="2">
        <v>4.68</v>
      </c>
    </row>
    <row r="17" spans="4:7" x14ac:dyDescent="0.2">
      <c r="D17" s="5">
        <v>44581</v>
      </c>
      <c r="E17" s="2">
        <v>2.5</v>
      </c>
      <c r="F17" s="2">
        <v>3.335</v>
      </c>
      <c r="G17" s="2">
        <v>4.68</v>
      </c>
    </row>
    <row r="18" spans="4:7" x14ac:dyDescent="0.2">
      <c r="D18" s="5">
        <v>44582</v>
      </c>
      <c r="E18" s="2">
        <v>2.4900000000000002</v>
      </c>
      <c r="F18" s="2">
        <v>3.4249999999999998</v>
      </c>
      <c r="G18" s="2">
        <v>4.5721999999999996</v>
      </c>
    </row>
    <row r="19" spans="4:7" x14ac:dyDescent="0.2">
      <c r="D19" s="5">
        <v>44585</v>
      </c>
      <c r="E19" s="2">
        <v>2.4900000000000002</v>
      </c>
      <c r="F19" s="2">
        <v>3.4632999999999998</v>
      </c>
      <c r="G19" s="2">
        <v>4.5721999999999996</v>
      </c>
    </row>
    <row r="20" spans="4:7" x14ac:dyDescent="0.2">
      <c r="D20" s="5">
        <v>44586</v>
      </c>
      <c r="E20" s="2">
        <v>2.4900000000000002</v>
      </c>
      <c r="F20" s="2">
        <v>3.4836999999999998</v>
      </c>
      <c r="G20" s="2">
        <v>4.5721999999999996</v>
      </c>
    </row>
    <row r="21" spans="4:7" x14ac:dyDescent="0.2">
      <c r="D21" s="5">
        <v>44587</v>
      </c>
      <c r="E21" s="2">
        <v>2.4900000000000002</v>
      </c>
      <c r="F21" s="2">
        <v>3.4836999999999998</v>
      </c>
      <c r="G21" s="2">
        <v>4.5721999999999996</v>
      </c>
    </row>
    <row r="22" spans="4:7" x14ac:dyDescent="0.2">
      <c r="D22" s="5">
        <v>44588</v>
      </c>
      <c r="E22" s="2">
        <v>2.4900000000000002</v>
      </c>
      <c r="F22" s="2">
        <v>3.4836</v>
      </c>
      <c r="G22" s="2">
        <v>4.5721999999999996</v>
      </c>
    </row>
    <row r="23" spans="4:7" x14ac:dyDescent="0.2">
      <c r="D23" s="5">
        <v>44589</v>
      </c>
      <c r="E23" s="2">
        <v>2.4900000000000002</v>
      </c>
      <c r="F23" s="2">
        <v>3.5</v>
      </c>
      <c r="G23" s="2">
        <v>5.88</v>
      </c>
    </row>
    <row r="24" spans="4:7" x14ac:dyDescent="0.2">
      <c r="D24" s="5">
        <v>44592</v>
      </c>
      <c r="E24" s="2">
        <v>2.4900000000000002</v>
      </c>
      <c r="F24" s="2">
        <v>3.5</v>
      </c>
      <c r="G24" s="2">
        <v>5.88</v>
      </c>
    </row>
    <row r="25" spans="4:7" x14ac:dyDescent="0.2">
      <c r="D25" s="5">
        <v>44593</v>
      </c>
      <c r="E25" s="2">
        <v>2.4900000000000002</v>
      </c>
      <c r="F25" s="2">
        <v>3.5</v>
      </c>
      <c r="G25" s="2">
        <v>5.88</v>
      </c>
    </row>
    <row r="26" spans="4:7" x14ac:dyDescent="0.2">
      <c r="D26" s="5">
        <v>44594</v>
      </c>
      <c r="E26" s="2">
        <v>2.4900000000000002</v>
      </c>
      <c r="F26" s="2">
        <v>3.5</v>
      </c>
      <c r="G26" s="2">
        <v>5.88</v>
      </c>
    </row>
    <row r="27" spans="4:7" x14ac:dyDescent="0.2">
      <c r="D27" s="5">
        <v>44595</v>
      </c>
      <c r="E27" s="2">
        <v>2.4900000000000002</v>
      </c>
      <c r="F27" s="2">
        <v>3.5044</v>
      </c>
      <c r="G27" s="2">
        <v>5.88</v>
      </c>
    </row>
    <row r="28" spans="4:7" x14ac:dyDescent="0.2">
      <c r="D28" s="5">
        <v>44596</v>
      </c>
      <c r="E28" s="2">
        <v>2.99</v>
      </c>
      <c r="F28" s="2">
        <v>3.5</v>
      </c>
      <c r="G28" s="2">
        <v>4.5206999999999997</v>
      </c>
    </row>
    <row r="29" spans="4:7" x14ac:dyDescent="0.2">
      <c r="D29" s="5">
        <v>44599</v>
      </c>
      <c r="E29" s="2">
        <v>3.0102000000000002</v>
      </c>
      <c r="F29" s="2">
        <v>3.4220999999999999</v>
      </c>
      <c r="G29" s="2">
        <v>4.5206999999999997</v>
      </c>
    </row>
    <row r="30" spans="4:7" x14ac:dyDescent="0.2">
      <c r="D30" s="5">
        <v>44600</v>
      </c>
      <c r="E30" s="2">
        <v>3.0102000000000002</v>
      </c>
      <c r="F30" s="2">
        <v>3.448</v>
      </c>
      <c r="G30" s="2">
        <v>4.5206999999999997</v>
      </c>
    </row>
    <row r="31" spans="4:7" x14ac:dyDescent="0.2">
      <c r="D31" s="5">
        <v>44601</v>
      </c>
      <c r="E31" s="2">
        <v>3</v>
      </c>
      <c r="F31" s="2">
        <v>3.4529999999999998</v>
      </c>
      <c r="G31" s="2">
        <v>4.5206999999999997</v>
      </c>
    </row>
    <row r="32" spans="4:7" x14ac:dyDescent="0.2">
      <c r="D32" s="5">
        <v>44602</v>
      </c>
      <c r="E32" s="2">
        <v>3</v>
      </c>
      <c r="F32" s="2">
        <v>3.4529999999999998</v>
      </c>
      <c r="G32" s="2">
        <v>4.3952</v>
      </c>
    </row>
    <row r="33" spans="4:7" x14ac:dyDescent="0.2">
      <c r="D33" s="5">
        <v>44603</v>
      </c>
      <c r="E33" s="2">
        <v>2.4900000000000002</v>
      </c>
      <c r="F33" s="2">
        <v>3.5</v>
      </c>
      <c r="G33" s="2">
        <v>4.6900000000000004</v>
      </c>
    </row>
    <row r="34" spans="4:7" x14ac:dyDescent="0.2">
      <c r="D34" s="5">
        <v>44606</v>
      </c>
      <c r="E34" s="2">
        <v>2.4900000000000002</v>
      </c>
      <c r="F34" s="2">
        <v>3.5038999999999998</v>
      </c>
      <c r="G34" s="2">
        <v>5</v>
      </c>
    </row>
    <row r="35" spans="4:7" x14ac:dyDescent="0.2">
      <c r="D35" s="5">
        <v>44607</v>
      </c>
      <c r="E35" s="2">
        <v>2.4900000000000002</v>
      </c>
      <c r="F35" s="2">
        <v>3.504</v>
      </c>
      <c r="G35" s="2">
        <v>5</v>
      </c>
    </row>
    <row r="36" spans="4:7" x14ac:dyDescent="0.2">
      <c r="D36" s="5">
        <v>44608</v>
      </c>
      <c r="E36" s="2">
        <v>2.4900000000000002</v>
      </c>
      <c r="F36" s="2">
        <v>3.5144000000000002</v>
      </c>
      <c r="G36" s="2">
        <v>5</v>
      </c>
    </row>
    <row r="37" spans="4:7" x14ac:dyDescent="0.2">
      <c r="D37" s="5">
        <v>44609</v>
      </c>
      <c r="E37" s="2">
        <v>2.4900000000000002</v>
      </c>
      <c r="F37" s="2">
        <v>3.5148000000000001</v>
      </c>
      <c r="G37" s="2">
        <v>5</v>
      </c>
    </row>
    <row r="38" spans="4:7" x14ac:dyDescent="0.2">
      <c r="D38" s="5">
        <v>44610</v>
      </c>
      <c r="E38" s="2">
        <v>2.4900000000000002</v>
      </c>
      <c r="F38" s="2">
        <v>3.5148000000000001</v>
      </c>
      <c r="G38" s="2">
        <v>5</v>
      </c>
    </row>
    <row r="39" spans="4:7" x14ac:dyDescent="0.2">
      <c r="D39" s="5">
        <v>44613</v>
      </c>
      <c r="E39" s="2">
        <v>2.4900000000000002</v>
      </c>
      <c r="F39" s="2">
        <v>3.5194000000000001</v>
      </c>
      <c r="G39" s="2">
        <v>4.8121</v>
      </c>
    </row>
    <row r="40" spans="4:7" x14ac:dyDescent="0.2">
      <c r="D40" s="5">
        <v>44614</v>
      </c>
      <c r="E40" s="2">
        <v>2.4900000000000002</v>
      </c>
      <c r="F40" s="2">
        <v>3.5251999999999999</v>
      </c>
      <c r="G40" s="2">
        <v>4.8121</v>
      </c>
    </row>
    <row r="41" spans="4:7" x14ac:dyDescent="0.2">
      <c r="D41" s="5">
        <v>44615</v>
      </c>
      <c r="E41" s="2">
        <v>2.4900000000000002</v>
      </c>
      <c r="F41" s="2">
        <v>3.5236000000000001</v>
      </c>
      <c r="G41" s="2">
        <v>4.8121</v>
      </c>
    </row>
    <row r="42" spans="4:7" x14ac:dyDescent="0.2">
      <c r="D42" s="5">
        <v>44616</v>
      </c>
      <c r="E42" s="2">
        <v>2.4900000000000002</v>
      </c>
      <c r="F42" s="2">
        <v>3.5194000000000001</v>
      </c>
      <c r="G42" s="2">
        <v>4.8121</v>
      </c>
    </row>
    <row r="43" spans="4:7" x14ac:dyDescent="0.2">
      <c r="D43" s="5">
        <v>44617</v>
      </c>
      <c r="E43" s="2">
        <v>3</v>
      </c>
      <c r="F43" s="2">
        <v>3.5665</v>
      </c>
      <c r="G43" s="2">
        <v>4.6900000000000004</v>
      </c>
    </row>
    <row r="44" spans="4:7" x14ac:dyDescent="0.2">
      <c r="D44" s="5">
        <v>44622</v>
      </c>
      <c r="E44" s="2">
        <v>3</v>
      </c>
      <c r="F44" s="2">
        <v>3.5417999999999998</v>
      </c>
      <c r="G44" s="2">
        <v>4.6900000000000004</v>
      </c>
    </row>
    <row r="45" spans="4:7" x14ac:dyDescent="0.2">
      <c r="D45" s="5">
        <v>44623</v>
      </c>
      <c r="E45" s="2">
        <v>3</v>
      </c>
      <c r="F45" s="2">
        <v>3.5038999999999998</v>
      </c>
      <c r="G45" s="2">
        <v>4.6900000000000004</v>
      </c>
    </row>
    <row r="46" spans="4:7" x14ac:dyDescent="0.2">
      <c r="D46" s="5">
        <v>44624</v>
      </c>
      <c r="E46" s="2">
        <v>2.9</v>
      </c>
      <c r="F46" s="2">
        <v>3.5</v>
      </c>
      <c r="G46" s="2">
        <v>4.6900000000000004</v>
      </c>
    </row>
    <row r="47" spans="4:7" x14ac:dyDescent="0.2">
      <c r="D47" s="5">
        <v>44627</v>
      </c>
      <c r="E47" s="2">
        <v>2.9</v>
      </c>
      <c r="F47" s="2">
        <v>3.5</v>
      </c>
      <c r="G47" s="2">
        <v>4.6900000000000004</v>
      </c>
    </row>
    <row r="48" spans="4:7" x14ac:dyDescent="0.2">
      <c r="D48" s="5">
        <v>44628</v>
      </c>
      <c r="E48" s="2">
        <v>2.9</v>
      </c>
      <c r="F48" s="2">
        <v>3.5043000000000002</v>
      </c>
      <c r="G48" s="2">
        <v>4.4579000000000004</v>
      </c>
    </row>
    <row r="49" spans="4:7" x14ac:dyDescent="0.2">
      <c r="D49" s="5">
        <v>44629</v>
      </c>
      <c r="E49" s="2">
        <v>2.9</v>
      </c>
      <c r="F49" s="2">
        <v>3.6</v>
      </c>
      <c r="G49" s="2">
        <v>4.4579000000000004</v>
      </c>
    </row>
    <row r="50" spans="4:7" x14ac:dyDescent="0.2">
      <c r="D50" s="5">
        <v>44630</v>
      </c>
      <c r="E50" s="2">
        <v>2.9</v>
      </c>
      <c r="F50" s="2">
        <v>3.61</v>
      </c>
      <c r="G50" s="2">
        <v>4.4579000000000004</v>
      </c>
    </row>
    <row r="51" spans="4:7" x14ac:dyDescent="0.2">
      <c r="D51" s="5">
        <v>44631</v>
      </c>
      <c r="E51" s="2">
        <v>2.9</v>
      </c>
      <c r="F51" s="2">
        <v>3.7204000000000002</v>
      </c>
      <c r="G51" s="2">
        <v>4.9370000000000003</v>
      </c>
    </row>
    <row r="52" spans="4:7" x14ac:dyDescent="0.2">
      <c r="D52" s="5">
        <v>44634</v>
      </c>
      <c r="E52" s="2">
        <v>2.9</v>
      </c>
      <c r="F52" s="2">
        <v>3.7406000000000001</v>
      </c>
      <c r="G52" s="2">
        <v>4.9370000000000003</v>
      </c>
    </row>
    <row r="53" spans="4:7" x14ac:dyDescent="0.2">
      <c r="D53" s="5">
        <v>44635</v>
      </c>
      <c r="E53" s="2">
        <v>2.9</v>
      </c>
      <c r="F53" s="2">
        <v>3.726</v>
      </c>
      <c r="G53" s="2">
        <v>4.9370000000000003</v>
      </c>
    </row>
    <row r="54" spans="4:7" x14ac:dyDescent="0.2">
      <c r="D54" s="5">
        <v>44636</v>
      </c>
      <c r="E54" s="2">
        <v>2.9</v>
      </c>
      <c r="F54" s="2">
        <v>3.7208000000000001</v>
      </c>
      <c r="G54" s="2">
        <v>4.9370000000000003</v>
      </c>
    </row>
    <row r="55" spans="4:7" x14ac:dyDescent="0.2">
      <c r="D55" s="5">
        <v>44637</v>
      </c>
      <c r="E55" s="2">
        <v>2.9</v>
      </c>
      <c r="F55" s="2">
        <v>3.75</v>
      </c>
      <c r="G55" s="2">
        <v>4.9370000000000003</v>
      </c>
    </row>
    <row r="56" spans="4:7" x14ac:dyDescent="0.2">
      <c r="D56" s="5">
        <v>44638</v>
      </c>
      <c r="E56" s="2">
        <v>2.9</v>
      </c>
      <c r="F56" s="2">
        <v>3.7521</v>
      </c>
      <c r="G56" s="2">
        <v>5.0464000000000002</v>
      </c>
    </row>
    <row r="57" spans="4:7" x14ac:dyDescent="0.2">
      <c r="D57" s="5">
        <v>44641</v>
      </c>
      <c r="E57" s="2">
        <v>2.9</v>
      </c>
      <c r="F57" s="2">
        <v>3.7521</v>
      </c>
      <c r="G57" s="2">
        <v>5.3563000000000001</v>
      </c>
    </row>
    <row r="58" spans="4:7" x14ac:dyDescent="0.2">
      <c r="D58" s="5">
        <v>44642</v>
      </c>
      <c r="E58" s="2">
        <v>2.9</v>
      </c>
      <c r="F58" s="2">
        <v>3.7521</v>
      </c>
      <c r="G58" s="2">
        <v>5.3563000000000001</v>
      </c>
    </row>
    <row r="59" spans="4:7" x14ac:dyDescent="0.2">
      <c r="D59" s="5">
        <v>44643</v>
      </c>
      <c r="E59" s="2">
        <v>2.9</v>
      </c>
      <c r="F59" s="2">
        <v>3.7511000000000001</v>
      </c>
      <c r="G59" s="2">
        <v>5.3563000000000001</v>
      </c>
    </row>
    <row r="60" spans="4:7" x14ac:dyDescent="0.2">
      <c r="D60" s="5">
        <v>44644</v>
      </c>
      <c r="E60" s="2">
        <v>3</v>
      </c>
      <c r="F60" s="2">
        <v>3.75</v>
      </c>
      <c r="G60" s="2">
        <v>5.3563000000000001</v>
      </c>
    </row>
    <row r="61" spans="4:7" x14ac:dyDescent="0.2">
      <c r="D61" s="5">
        <v>44645</v>
      </c>
      <c r="E61" s="2">
        <v>3</v>
      </c>
      <c r="F61" s="2">
        <v>3.9</v>
      </c>
      <c r="G61" s="2">
        <v>5.3563000000000001</v>
      </c>
    </row>
    <row r="62" spans="4:7" x14ac:dyDescent="0.2">
      <c r="D62" s="5">
        <v>44648</v>
      </c>
      <c r="E62" s="2">
        <v>3</v>
      </c>
      <c r="F62" s="2">
        <v>3.9039999999999999</v>
      </c>
      <c r="G62" s="2">
        <v>5.0464000000000002</v>
      </c>
    </row>
    <row r="63" spans="4:7" x14ac:dyDescent="0.2">
      <c r="D63" s="5">
        <v>44649</v>
      </c>
      <c r="E63" s="2">
        <v>3</v>
      </c>
      <c r="F63" s="2">
        <v>3.9039999999999999</v>
      </c>
      <c r="G63" s="2">
        <v>5.0464000000000002</v>
      </c>
    </row>
    <row r="64" spans="4:7" x14ac:dyDescent="0.2">
      <c r="D64" s="5">
        <v>44650</v>
      </c>
      <c r="E64" s="2">
        <v>3</v>
      </c>
      <c r="F64" s="2">
        <v>3.9039999999999999</v>
      </c>
      <c r="G64" s="2">
        <v>5.6368</v>
      </c>
    </row>
    <row r="65" spans="4:7" x14ac:dyDescent="0.2">
      <c r="D65" s="5">
        <v>44651</v>
      </c>
      <c r="E65" s="2">
        <v>3</v>
      </c>
      <c r="F65" s="2">
        <v>3.9638</v>
      </c>
      <c r="G65" s="2">
        <v>5.6368</v>
      </c>
    </row>
    <row r="66" spans="4:7" x14ac:dyDescent="0.2">
      <c r="D66" s="5">
        <v>44652</v>
      </c>
      <c r="E66" s="2">
        <v>3.0924999999999998</v>
      </c>
      <c r="F66" s="2">
        <v>3.9</v>
      </c>
      <c r="G66" s="2">
        <v>5.6368</v>
      </c>
    </row>
    <row r="67" spans="4:7" x14ac:dyDescent="0.2">
      <c r="D67" s="5">
        <v>44655</v>
      </c>
      <c r="E67" s="2">
        <v>3.0924999999999998</v>
      </c>
      <c r="F67" s="2">
        <v>3.95</v>
      </c>
      <c r="G67" s="2">
        <v>5.6368</v>
      </c>
    </row>
    <row r="68" spans="4:7" x14ac:dyDescent="0.2">
      <c r="D68" s="5">
        <v>44656</v>
      </c>
      <c r="E68" s="2">
        <v>3.0924999999999998</v>
      </c>
      <c r="F68" s="2">
        <v>4.0007000000000001</v>
      </c>
      <c r="G68" s="2">
        <v>5.6368</v>
      </c>
    </row>
    <row r="69" spans="4:7" x14ac:dyDescent="0.2">
      <c r="D69" s="5">
        <v>44657</v>
      </c>
      <c r="E69" s="2">
        <v>3.0924999999999998</v>
      </c>
      <c r="F69" s="2">
        <v>4.0003000000000002</v>
      </c>
      <c r="G69" s="2">
        <v>5.1466000000000003</v>
      </c>
    </row>
    <row r="70" spans="4:7" x14ac:dyDescent="0.2">
      <c r="D70" s="5">
        <v>44658</v>
      </c>
      <c r="E70" s="2">
        <v>3.0924999999999998</v>
      </c>
      <c r="F70" s="2">
        <v>3.9851999999999999</v>
      </c>
      <c r="G70" s="2">
        <v>5.1466000000000003</v>
      </c>
    </row>
    <row r="71" spans="4:7" x14ac:dyDescent="0.2">
      <c r="D71" s="5">
        <v>44659</v>
      </c>
      <c r="E71" s="2">
        <v>3.0924999999999998</v>
      </c>
      <c r="F71" s="2">
        <v>3.9998999999999998</v>
      </c>
      <c r="G71" s="2">
        <v>5.0944000000000003</v>
      </c>
    </row>
    <row r="72" spans="4:7" x14ac:dyDescent="0.2">
      <c r="D72" s="5">
        <v>44662</v>
      </c>
      <c r="E72" s="2">
        <v>3.0924999999999998</v>
      </c>
      <c r="F72" s="2">
        <v>4.0004</v>
      </c>
      <c r="G72" s="2">
        <v>5.0944000000000003</v>
      </c>
    </row>
    <row r="73" spans="4:7" x14ac:dyDescent="0.2">
      <c r="D73" s="5">
        <v>44663</v>
      </c>
      <c r="E73" s="2">
        <v>3.0924999999999998</v>
      </c>
      <c r="F73" s="2">
        <v>4</v>
      </c>
      <c r="G73" s="2">
        <v>5.0944000000000003</v>
      </c>
    </row>
    <row r="74" spans="4:7" x14ac:dyDescent="0.2">
      <c r="D74" s="5">
        <v>44664</v>
      </c>
      <c r="E74" s="2">
        <v>3.0924999999999998</v>
      </c>
      <c r="F74" s="2">
        <v>4.0110999999999999</v>
      </c>
      <c r="G74" s="2">
        <v>5.0944000000000003</v>
      </c>
    </row>
    <row r="75" spans="4:7" x14ac:dyDescent="0.2">
      <c r="D75" s="5">
        <v>44665</v>
      </c>
      <c r="E75" s="2">
        <v>3.0924999999999998</v>
      </c>
      <c r="F75" s="2">
        <v>4.0476000000000001</v>
      </c>
      <c r="G75" s="2">
        <v>5.32</v>
      </c>
    </row>
    <row r="76" spans="4:7" x14ac:dyDescent="0.2">
      <c r="D76" s="5">
        <v>44669</v>
      </c>
      <c r="E76" s="2">
        <v>3.25</v>
      </c>
      <c r="F76" s="2">
        <v>4.0919999999999996</v>
      </c>
      <c r="G76" s="2">
        <v>5.32</v>
      </c>
    </row>
    <row r="77" spans="4:7" x14ac:dyDescent="0.2">
      <c r="D77" s="5">
        <v>44670</v>
      </c>
      <c r="E77" s="2">
        <v>3.2498999999999998</v>
      </c>
      <c r="F77" s="2">
        <v>4</v>
      </c>
      <c r="G77" s="2">
        <v>5.32</v>
      </c>
    </row>
    <row r="78" spans="4:7" x14ac:dyDescent="0.2">
      <c r="D78" s="5">
        <v>44671</v>
      </c>
      <c r="E78" s="2">
        <v>3.0924999999999998</v>
      </c>
      <c r="F78" s="2">
        <v>4.0004</v>
      </c>
      <c r="G78" s="2">
        <v>5.32</v>
      </c>
    </row>
    <row r="79" spans="4:7" x14ac:dyDescent="0.2">
      <c r="D79" s="5">
        <v>44673</v>
      </c>
      <c r="E79" s="2">
        <v>3.0924999999999998</v>
      </c>
      <c r="F79" s="2">
        <v>4.0007999999999999</v>
      </c>
      <c r="G79" s="2">
        <v>6.1029999999999998</v>
      </c>
    </row>
    <row r="80" spans="4:7" x14ac:dyDescent="0.2">
      <c r="D80" s="5">
        <v>44676</v>
      </c>
      <c r="E80" s="2">
        <v>3.0924999999999998</v>
      </c>
      <c r="F80" s="2">
        <v>4.0007000000000001</v>
      </c>
      <c r="G80" s="2">
        <v>6.1029999999999998</v>
      </c>
    </row>
    <row r="81" spans="4:7" x14ac:dyDescent="0.2">
      <c r="D81" s="5">
        <v>44677</v>
      </c>
      <c r="E81" s="2">
        <v>3.0924999999999998</v>
      </c>
      <c r="F81" s="2">
        <v>4.0007000000000001</v>
      </c>
      <c r="G81" s="2">
        <v>6.1029999999999998</v>
      </c>
    </row>
    <row r="82" spans="4:7" x14ac:dyDescent="0.2">
      <c r="D82" s="5">
        <v>44678</v>
      </c>
      <c r="E82" s="2">
        <v>3.0924999999999998</v>
      </c>
      <c r="F82" s="2">
        <v>4.0014000000000003</v>
      </c>
      <c r="G82" s="2">
        <v>6.1029999999999998</v>
      </c>
    </row>
    <row r="83" spans="4:7" x14ac:dyDescent="0.2">
      <c r="D83" s="5">
        <v>44679</v>
      </c>
      <c r="E83" s="2">
        <v>2.9996</v>
      </c>
      <c r="F83" s="2">
        <v>4.0014000000000003</v>
      </c>
      <c r="G83" s="2">
        <v>6.1029999999999998</v>
      </c>
    </row>
    <row r="84" spans="4:7" x14ac:dyDescent="0.2">
      <c r="D84" s="5">
        <v>44680</v>
      </c>
      <c r="E84" s="2">
        <v>2.9996</v>
      </c>
      <c r="F84" s="2">
        <v>4.12</v>
      </c>
      <c r="G84" s="2">
        <v>6.0400999999999998</v>
      </c>
    </row>
    <row r="85" spans="4:7" x14ac:dyDescent="0.2">
      <c r="D85" s="5">
        <v>44683</v>
      </c>
      <c r="E85" s="2">
        <v>2.9996</v>
      </c>
      <c r="F85" s="2">
        <v>4.1722999999999999</v>
      </c>
      <c r="G85" s="2">
        <v>6.0400999999999998</v>
      </c>
    </row>
    <row r="86" spans="4:7" x14ac:dyDescent="0.2">
      <c r="D86" s="5">
        <v>44684</v>
      </c>
      <c r="E86" s="2">
        <v>2.9996</v>
      </c>
      <c r="F86" s="2">
        <v>4.1722999999999999</v>
      </c>
      <c r="G86" s="2">
        <v>6.0400999999999998</v>
      </c>
    </row>
    <row r="87" spans="4:7" x14ac:dyDescent="0.2">
      <c r="D87" s="5">
        <v>44685</v>
      </c>
      <c r="E87" s="2">
        <v>2.9996</v>
      </c>
      <c r="F87" s="2">
        <v>4.1825999999999999</v>
      </c>
      <c r="G87" s="2">
        <v>6.0400999999999998</v>
      </c>
    </row>
    <row r="88" spans="4:7" x14ac:dyDescent="0.2">
      <c r="D88" s="5">
        <v>44686</v>
      </c>
      <c r="E88" s="2">
        <v>3.0411999999999999</v>
      </c>
      <c r="F88" s="2">
        <v>4.1981000000000002</v>
      </c>
      <c r="G88" s="2">
        <v>6.0400999999999998</v>
      </c>
    </row>
    <row r="89" spans="4:7" x14ac:dyDescent="0.2">
      <c r="D89" s="5">
        <v>44687</v>
      </c>
      <c r="E89" s="2">
        <v>3.51</v>
      </c>
      <c r="F89" s="2">
        <v>4.2088000000000001</v>
      </c>
      <c r="G89" s="2">
        <v>5.7662000000000004</v>
      </c>
    </row>
    <row r="90" spans="4:7" x14ac:dyDescent="0.2">
      <c r="D90" s="5">
        <v>44690</v>
      </c>
      <c r="E90" s="2">
        <v>3.51</v>
      </c>
      <c r="F90" s="2">
        <v>4.2462999999999997</v>
      </c>
      <c r="G90" s="2">
        <v>5.7662000000000004</v>
      </c>
    </row>
    <row r="91" spans="4:7" x14ac:dyDescent="0.2">
      <c r="D91" s="5">
        <v>44691</v>
      </c>
      <c r="E91" s="2">
        <v>3.51</v>
      </c>
      <c r="F91" s="2">
        <v>4.2</v>
      </c>
      <c r="G91" s="2">
        <v>5.7662000000000004</v>
      </c>
    </row>
    <row r="92" spans="4:7" x14ac:dyDescent="0.2">
      <c r="D92" s="5">
        <v>44692</v>
      </c>
      <c r="E92" s="2">
        <v>3.2467000000000001</v>
      </c>
      <c r="F92" s="2">
        <v>4.2</v>
      </c>
      <c r="G92" s="2">
        <v>6.3399000000000001</v>
      </c>
    </row>
    <row r="93" spans="4:7" x14ac:dyDescent="0.2">
      <c r="D93" s="5">
        <v>44693</v>
      </c>
      <c r="E93" s="2">
        <v>3.2467000000000001</v>
      </c>
      <c r="F93" s="2">
        <v>4.2088000000000001</v>
      </c>
      <c r="G93" s="2">
        <v>6.3399000000000001</v>
      </c>
    </row>
    <row r="94" spans="4:7" x14ac:dyDescent="0.2">
      <c r="D94" s="5">
        <v>44694</v>
      </c>
      <c r="E94" s="2">
        <v>3.0819000000000001</v>
      </c>
      <c r="F94" s="2">
        <v>4.2759</v>
      </c>
      <c r="G94" s="2">
        <v>6.3399000000000001</v>
      </c>
    </row>
    <row r="95" spans="4:7" x14ac:dyDescent="0.2">
      <c r="D95" s="5">
        <v>44697</v>
      </c>
      <c r="E95" s="2">
        <v>3.0819000000000001</v>
      </c>
      <c r="F95" s="2">
        <v>4.2942</v>
      </c>
      <c r="G95" s="2">
        <v>6.3399000000000001</v>
      </c>
    </row>
    <row r="96" spans="4:7" x14ac:dyDescent="0.2">
      <c r="D96" s="5">
        <v>44698</v>
      </c>
      <c r="E96" s="2">
        <v>3.0819000000000001</v>
      </c>
      <c r="F96" s="2">
        <v>4.3228</v>
      </c>
      <c r="G96" s="2">
        <v>6.7069999999999999</v>
      </c>
    </row>
    <row r="97" spans="4:7" x14ac:dyDescent="0.2">
      <c r="D97" s="5">
        <v>44699</v>
      </c>
      <c r="E97" s="2">
        <v>3.0819000000000001</v>
      </c>
      <c r="F97" s="2">
        <v>4.3228</v>
      </c>
      <c r="G97" s="2">
        <v>6.7069999999999999</v>
      </c>
    </row>
    <row r="98" spans="4:7" x14ac:dyDescent="0.2">
      <c r="D98" s="5">
        <v>44700</v>
      </c>
      <c r="E98" s="2">
        <v>3.0411999999999999</v>
      </c>
      <c r="F98" s="2">
        <v>4.3</v>
      </c>
      <c r="G98" s="2">
        <v>6.7069999999999999</v>
      </c>
    </row>
    <row r="99" spans="4:7" x14ac:dyDescent="0.2">
      <c r="D99" s="5">
        <v>44701</v>
      </c>
      <c r="E99" s="2">
        <v>3.0411999999999999</v>
      </c>
      <c r="F99" s="2">
        <v>4.3331</v>
      </c>
      <c r="G99" s="2">
        <v>6.5796999999999999</v>
      </c>
    </row>
    <row r="100" spans="4:7" x14ac:dyDescent="0.2">
      <c r="D100" s="5">
        <v>44704</v>
      </c>
      <c r="E100" s="2">
        <v>3.0411999999999999</v>
      </c>
      <c r="F100" s="2">
        <v>4.3419999999999996</v>
      </c>
      <c r="G100" s="2">
        <v>6.5796999999999999</v>
      </c>
    </row>
    <row r="101" spans="4:7" x14ac:dyDescent="0.2">
      <c r="D101" s="5">
        <v>44705</v>
      </c>
      <c r="E101" s="2">
        <v>3.0411999999999999</v>
      </c>
      <c r="F101" s="2">
        <v>4.3539000000000003</v>
      </c>
      <c r="G101" s="2">
        <v>6.5796999999999999</v>
      </c>
    </row>
    <row r="102" spans="4:7" x14ac:dyDescent="0.2">
      <c r="D102" s="5">
        <v>44706</v>
      </c>
      <c r="E102" s="2">
        <v>3.0411999999999999</v>
      </c>
      <c r="F102" s="2">
        <v>4.3757999999999999</v>
      </c>
      <c r="G102" s="2">
        <v>6.5796999999999999</v>
      </c>
    </row>
    <row r="103" spans="4:7" x14ac:dyDescent="0.2">
      <c r="D103" s="5">
        <v>44707</v>
      </c>
      <c r="E103" s="2">
        <v>3.0411999999999999</v>
      </c>
      <c r="F103" s="2">
        <v>4.3757999999999999</v>
      </c>
      <c r="G103" s="2">
        <v>6.5796999999999999</v>
      </c>
    </row>
    <row r="104" spans="4:7" x14ac:dyDescent="0.2">
      <c r="D104" s="5">
        <v>44708</v>
      </c>
      <c r="E104" s="2">
        <v>3.25</v>
      </c>
      <c r="F104" s="2">
        <v>4.5</v>
      </c>
      <c r="G104" s="2">
        <v>6.51</v>
      </c>
    </row>
    <row r="105" spans="4:7" x14ac:dyDescent="0.2">
      <c r="D105" s="5">
        <v>44711</v>
      </c>
      <c r="E105" s="2">
        <v>3.25</v>
      </c>
      <c r="F105" s="2">
        <v>4.5</v>
      </c>
      <c r="G105" s="2">
        <v>6.51</v>
      </c>
    </row>
    <row r="106" spans="4:7" x14ac:dyDescent="0.2">
      <c r="D106" s="5">
        <v>44712</v>
      </c>
      <c r="E106" s="2">
        <v>3.5</v>
      </c>
      <c r="F106" s="2">
        <v>4.5</v>
      </c>
      <c r="G106" s="2">
        <v>6.51</v>
      </c>
    </row>
    <row r="107" spans="4:7" x14ac:dyDescent="0.2">
      <c r="D107" s="5">
        <v>44713</v>
      </c>
      <c r="E107" s="2">
        <v>3.2467000000000001</v>
      </c>
      <c r="F107" s="2">
        <v>4.4000000000000004</v>
      </c>
      <c r="G107" s="2">
        <v>6.51</v>
      </c>
    </row>
    <row r="108" spans="4:7" x14ac:dyDescent="0.2">
      <c r="D108" s="5">
        <v>44714</v>
      </c>
      <c r="E108" s="2">
        <v>3.2467000000000001</v>
      </c>
      <c r="F108" s="2">
        <v>4.4489000000000001</v>
      </c>
      <c r="G108" s="2">
        <v>6.51</v>
      </c>
    </row>
    <row r="109" spans="4:7" x14ac:dyDescent="0.2">
      <c r="D109" s="5">
        <v>44715</v>
      </c>
      <c r="E109" s="2">
        <v>3.2467000000000001</v>
      </c>
      <c r="F109" s="2">
        <v>4.4977999999999998</v>
      </c>
      <c r="G109" s="2">
        <v>6.44</v>
      </c>
    </row>
    <row r="110" spans="4:7" x14ac:dyDescent="0.2">
      <c r="D110" s="5">
        <v>44718</v>
      </c>
      <c r="E110" s="2">
        <v>3.2467000000000001</v>
      </c>
      <c r="F110" s="2">
        <v>4.5</v>
      </c>
      <c r="G110" s="2">
        <v>6.44</v>
      </c>
    </row>
    <row r="111" spans="4:7" x14ac:dyDescent="0.2">
      <c r="D111" s="5">
        <v>44719</v>
      </c>
      <c r="E111" s="2">
        <v>3.2467000000000001</v>
      </c>
      <c r="F111" s="2">
        <v>4.5</v>
      </c>
      <c r="G111" s="2">
        <v>6.44</v>
      </c>
    </row>
    <row r="112" spans="4:7" x14ac:dyDescent="0.2">
      <c r="D112" s="5">
        <v>44720</v>
      </c>
      <c r="E112" s="2">
        <v>3.25</v>
      </c>
      <c r="F112" s="2">
        <v>4.6500000000000004</v>
      </c>
      <c r="G112" s="2">
        <v>6.44</v>
      </c>
    </row>
    <row r="113" spans="4:7" x14ac:dyDescent="0.2">
      <c r="D113" s="5">
        <v>44721</v>
      </c>
      <c r="E113" s="2">
        <v>3.25</v>
      </c>
      <c r="F113" s="2">
        <v>4.51</v>
      </c>
      <c r="G113" s="2">
        <v>6.44</v>
      </c>
    </row>
    <row r="114" spans="4:7" x14ac:dyDescent="0.2">
      <c r="D114" s="5">
        <v>44722</v>
      </c>
      <c r="E114" s="2">
        <v>3.25</v>
      </c>
      <c r="F114" s="2">
        <v>4.8002000000000002</v>
      </c>
      <c r="G114" s="2">
        <v>6.6428000000000003</v>
      </c>
    </row>
    <row r="115" spans="4:7" x14ac:dyDescent="0.2">
      <c r="D115" s="5">
        <v>44725</v>
      </c>
      <c r="E115" s="2">
        <v>3.25</v>
      </c>
      <c r="F115" s="2">
        <v>4.8002000000000002</v>
      </c>
      <c r="G115" s="2">
        <v>6.6428000000000003</v>
      </c>
    </row>
    <row r="116" spans="4:7" x14ac:dyDescent="0.2">
      <c r="D116" s="5">
        <v>44726</v>
      </c>
      <c r="E116" s="2">
        <v>3.25</v>
      </c>
      <c r="F116" s="2">
        <v>4.8201000000000001</v>
      </c>
      <c r="G116" s="2">
        <v>6.6428000000000003</v>
      </c>
    </row>
    <row r="117" spans="4:7" x14ac:dyDescent="0.2">
      <c r="D117" s="5">
        <v>44727</v>
      </c>
      <c r="E117" s="2">
        <v>3.5</v>
      </c>
      <c r="F117" s="2">
        <v>4.8550000000000004</v>
      </c>
      <c r="G117" s="2">
        <v>6.6428000000000003</v>
      </c>
    </row>
    <row r="118" spans="4:7" x14ac:dyDescent="0.2">
      <c r="D118" s="5">
        <v>44729</v>
      </c>
      <c r="E118" s="2">
        <v>3.5</v>
      </c>
      <c r="F118" s="2">
        <v>4.9546999999999999</v>
      </c>
      <c r="G118" s="2">
        <v>7.38</v>
      </c>
    </row>
    <row r="119" spans="4:7" x14ac:dyDescent="0.2">
      <c r="D119" s="5">
        <v>44732</v>
      </c>
      <c r="E119" s="2">
        <v>3.5</v>
      </c>
      <c r="F119" s="2">
        <v>5</v>
      </c>
      <c r="G119" s="2">
        <v>7.38</v>
      </c>
    </row>
    <row r="120" spans="4:7" x14ac:dyDescent="0.2">
      <c r="D120" s="5">
        <v>44733</v>
      </c>
      <c r="E120" s="2">
        <v>3.5</v>
      </c>
      <c r="F120" s="2">
        <v>4.9774000000000003</v>
      </c>
      <c r="G120" s="2">
        <v>7.38</v>
      </c>
    </row>
    <row r="121" spans="4:7" x14ac:dyDescent="0.2">
      <c r="D121" s="5">
        <v>44734</v>
      </c>
      <c r="E121" s="2">
        <v>3.5</v>
      </c>
      <c r="F121" s="2">
        <v>4.9000000000000004</v>
      </c>
      <c r="G121" s="2">
        <v>7.38</v>
      </c>
    </row>
    <row r="122" spans="4:7" x14ac:dyDescent="0.2">
      <c r="D122" s="5">
        <v>44735</v>
      </c>
      <c r="E122" s="2">
        <v>3.5</v>
      </c>
      <c r="F122" s="2">
        <v>4.9000000000000004</v>
      </c>
      <c r="G122" s="2">
        <v>7.38</v>
      </c>
    </row>
    <row r="123" spans="4:7" x14ac:dyDescent="0.2">
      <c r="D123" s="5">
        <v>44736</v>
      </c>
      <c r="E123" s="2">
        <v>3.8</v>
      </c>
      <c r="F123" s="2">
        <v>5</v>
      </c>
      <c r="G123" s="2">
        <v>7.38</v>
      </c>
    </row>
    <row r="124" spans="4:7" x14ac:dyDescent="0.2">
      <c r="D124" s="5">
        <v>44739</v>
      </c>
      <c r="E124" s="2">
        <v>3.8</v>
      </c>
      <c r="F124" s="2">
        <v>5.0087000000000002</v>
      </c>
      <c r="G124" s="2">
        <v>7.38</v>
      </c>
    </row>
    <row r="125" spans="4:7" x14ac:dyDescent="0.2">
      <c r="D125" s="5">
        <v>44740</v>
      </c>
      <c r="E125" s="2">
        <v>3.8</v>
      </c>
      <c r="F125" s="2">
        <v>5.0044000000000004</v>
      </c>
      <c r="G125" s="2">
        <v>7.38</v>
      </c>
    </row>
    <row r="126" spans="4:7" x14ac:dyDescent="0.2">
      <c r="D126" s="5">
        <v>44741</v>
      </c>
      <c r="E126" s="2">
        <v>3.8</v>
      </c>
      <c r="F126" s="2">
        <v>5.0087000000000002</v>
      </c>
      <c r="G126" s="2">
        <v>7.38</v>
      </c>
    </row>
    <row r="127" spans="4:7" x14ac:dyDescent="0.2">
      <c r="D127" s="5">
        <v>44742</v>
      </c>
      <c r="E127" s="2">
        <v>3.8</v>
      </c>
      <c r="F127" s="2">
        <v>5.0186999999999999</v>
      </c>
      <c r="G127" s="2">
        <v>7.38</v>
      </c>
    </row>
    <row r="128" spans="4:7" x14ac:dyDescent="0.2">
      <c r="D128" s="5">
        <v>44743</v>
      </c>
      <c r="E128" s="2">
        <v>3.8</v>
      </c>
      <c r="F128" s="2">
        <v>5.0106000000000002</v>
      </c>
      <c r="G128" s="2">
        <v>7.18</v>
      </c>
    </row>
    <row r="129" spans="4:7" x14ac:dyDescent="0.2">
      <c r="D129" s="5">
        <v>44746</v>
      </c>
      <c r="E129" s="2">
        <v>3.8</v>
      </c>
      <c r="F129" s="2">
        <v>5.3</v>
      </c>
      <c r="G129" s="2">
        <v>7.18</v>
      </c>
    </row>
    <row r="130" spans="4:7" x14ac:dyDescent="0.2">
      <c r="D130" s="5">
        <v>44747</v>
      </c>
      <c r="E130" s="2">
        <v>4</v>
      </c>
      <c r="F130" s="2">
        <v>5.3268000000000004</v>
      </c>
      <c r="G130" s="2">
        <v>7.18</v>
      </c>
    </row>
    <row r="131" spans="4:7" x14ac:dyDescent="0.2">
      <c r="D131" s="5">
        <v>44748</v>
      </c>
      <c r="E131" s="2">
        <v>4</v>
      </c>
      <c r="F131" s="2">
        <v>5.2816000000000001</v>
      </c>
      <c r="G131" s="2">
        <v>7.18</v>
      </c>
    </row>
    <row r="132" spans="4:7" x14ac:dyDescent="0.2">
      <c r="D132" s="5">
        <v>44749</v>
      </c>
      <c r="E132" s="2">
        <v>3.9241999999999999</v>
      </c>
      <c r="F132" s="2">
        <v>5.2549999999999999</v>
      </c>
      <c r="G132" s="2">
        <v>7.18</v>
      </c>
    </row>
    <row r="133" spans="4:7" x14ac:dyDescent="0.2">
      <c r="D133" s="5">
        <v>44750</v>
      </c>
      <c r="E133" s="2">
        <v>3.9241999999999999</v>
      </c>
      <c r="F133" s="2">
        <v>5.2</v>
      </c>
      <c r="G133" s="2">
        <v>7.23</v>
      </c>
    </row>
    <row r="134" spans="4:7" x14ac:dyDescent="0.2">
      <c r="D134" s="5">
        <v>44753</v>
      </c>
      <c r="E134" s="2">
        <v>3.2987000000000002</v>
      </c>
      <c r="F134" s="2">
        <v>5.15</v>
      </c>
      <c r="G134" s="2">
        <v>7.23</v>
      </c>
    </row>
    <row r="135" spans="4:7" x14ac:dyDescent="0.2">
      <c r="D135" s="5">
        <v>44754</v>
      </c>
      <c r="E135" s="2">
        <v>3.2987000000000002</v>
      </c>
      <c r="F135" s="2">
        <v>5.0792999999999999</v>
      </c>
      <c r="G135" s="2">
        <v>7.23</v>
      </c>
    </row>
    <row r="136" spans="4:7" x14ac:dyDescent="0.2">
      <c r="D136" s="5">
        <v>44755</v>
      </c>
      <c r="E136" s="2">
        <v>3.2987000000000002</v>
      </c>
      <c r="F136" s="2">
        <v>5.0719000000000003</v>
      </c>
      <c r="G136" s="2">
        <v>7.23</v>
      </c>
    </row>
    <row r="137" spans="4:7" x14ac:dyDescent="0.2">
      <c r="D137" s="5">
        <v>44756</v>
      </c>
      <c r="E137" s="2">
        <v>3.2987000000000002</v>
      </c>
      <c r="F137" s="2">
        <v>5.1325000000000003</v>
      </c>
      <c r="G137" s="2">
        <v>7.23</v>
      </c>
    </row>
    <row r="138" spans="4:7" x14ac:dyDescent="0.2">
      <c r="D138" s="5">
        <v>44757</v>
      </c>
      <c r="E138" s="2">
        <v>3.2987000000000002</v>
      </c>
      <c r="F138" s="2">
        <v>5.1150000000000002</v>
      </c>
      <c r="G138" s="2">
        <v>7.23</v>
      </c>
    </row>
    <row r="139" spans="4:7" x14ac:dyDescent="0.2">
      <c r="D139" s="5">
        <v>44760</v>
      </c>
      <c r="E139" s="2">
        <v>3.2987000000000002</v>
      </c>
      <c r="F139" s="2">
        <v>5.0944000000000003</v>
      </c>
      <c r="G139" s="2">
        <v>7.23</v>
      </c>
    </row>
    <row r="140" spans="4:7" x14ac:dyDescent="0.2">
      <c r="D140" s="5">
        <v>44761</v>
      </c>
      <c r="E140" s="2">
        <v>3.2987000000000002</v>
      </c>
      <c r="F140" s="2">
        <v>5.1524999999999999</v>
      </c>
      <c r="G140" s="2">
        <v>7.23</v>
      </c>
    </row>
    <row r="141" spans="4:7" x14ac:dyDescent="0.2">
      <c r="D141" s="5">
        <v>44762</v>
      </c>
      <c r="E141" s="2">
        <v>3.2987000000000002</v>
      </c>
      <c r="F141" s="2">
        <v>5.2954999999999997</v>
      </c>
      <c r="G141" s="2">
        <v>7.23</v>
      </c>
    </row>
    <row r="142" spans="4:7" x14ac:dyDescent="0.2">
      <c r="D142" s="5">
        <v>44763</v>
      </c>
      <c r="E142" s="2">
        <v>3.2987000000000002</v>
      </c>
      <c r="F142" s="2">
        <v>5.2908999999999997</v>
      </c>
      <c r="G142" s="2">
        <v>7.23</v>
      </c>
    </row>
    <row r="143" spans="4:7" x14ac:dyDescent="0.2">
      <c r="D143" s="5">
        <v>44764</v>
      </c>
      <c r="E143" s="2">
        <v>3.2987000000000002</v>
      </c>
      <c r="F143" s="2">
        <v>5.3000999999999996</v>
      </c>
      <c r="G143" s="2">
        <v>7.16</v>
      </c>
    </row>
    <row r="144" spans="4:7" x14ac:dyDescent="0.2">
      <c r="D144" s="5">
        <v>44767</v>
      </c>
      <c r="E144" s="2">
        <v>3.2987000000000002</v>
      </c>
      <c r="F144" s="2">
        <v>5.3064999999999998</v>
      </c>
      <c r="G144" s="2">
        <v>7.16</v>
      </c>
    </row>
    <row r="145" spans="4:7" x14ac:dyDescent="0.2">
      <c r="D145" s="5">
        <v>44768</v>
      </c>
      <c r="E145" s="2">
        <v>3.2987000000000002</v>
      </c>
      <c r="F145" s="2">
        <v>5.3205999999999998</v>
      </c>
      <c r="G145" s="2">
        <v>7.16</v>
      </c>
    </row>
    <row r="146" spans="4:7" x14ac:dyDescent="0.2">
      <c r="D146" s="5">
        <v>44769</v>
      </c>
      <c r="E146" s="2">
        <v>3.2987000000000002</v>
      </c>
      <c r="F146" s="2">
        <v>5.3212000000000002</v>
      </c>
      <c r="G146" s="2">
        <v>7.16</v>
      </c>
    </row>
    <row r="147" spans="4:7" x14ac:dyDescent="0.2">
      <c r="D147" s="5">
        <v>44770</v>
      </c>
      <c r="E147" s="2">
        <v>3.2987000000000002</v>
      </c>
      <c r="F147" s="2">
        <v>5.32</v>
      </c>
      <c r="G147" s="2">
        <v>7.16</v>
      </c>
    </row>
    <row r="148" spans="4:7" x14ac:dyDescent="0.2">
      <c r="D148" s="5">
        <v>44771</v>
      </c>
      <c r="E148" s="2">
        <v>3.2987000000000002</v>
      </c>
      <c r="F148" s="2">
        <v>5.32</v>
      </c>
      <c r="G148" s="2">
        <v>7.2</v>
      </c>
    </row>
    <row r="149" spans="4:7" x14ac:dyDescent="0.2">
      <c r="D149" s="5">
        <v>44774</v>
      </c>
      <c r="E149" s="2">
        <v>3.2987000000000002</v>
      </c>
      <c r="F149" s="2">
        <v>5.3205999999999998</v>
      </c>
      <c r="G149" s="2">
        <v>7.2</v>
      </c>
    </row>
    <row r="150" spans="4:7" x14ac:dyDescent="0.2">
      <c r="D150" s="5">
        <v>44775</v>
      </c>
      <c r="E150" s="2">
        <v>3.2987000000000002</v>
      </c>
      <c r="F150" s="2">
        <v>5.3164999999999996</v>
      </c>
      <c r="G150" s="2">
        <v>7.2</v>
      </c>
    </row>
    <row r="151" spans="4:7" x14ac:dyDescent="0.2">
      <c r="D151" s="5">
        <v>44776</v>
      </c>
      <c r="E151" s="2">
        <v>3.2987000000000002</v>
      </c>
      <c r="F151" s="2">
        <v>5.3205999999999998</v>
      </c>
      <c r="G151" s="2">
        <v>7.2</v>
      </c>
    </row>
    <row r="152" spans="4:7" x14ac:dyDescent="0.2">
      <c r="D152" s="5">
        <v>44777</v>
      </c>
      <c r="E152" s="2">
        <v>3.2987000000000002</v>
      </c>
      <c r="F152" s="2">
        <v>5.3827999999999996</v>
      </c>
      <c r="G152" s="2">
        <v>7.2</v>
      </c>
    </row>
    <row r="153" spans="4:7" x14ac:dyDescent="0.2">
      <c r="D153" s="5">
        <v>44778</v>
      </c>
      <c r="E153" s="2">
        <v>3.2987000000000002</v>
      </c>
      <c r="F153" s="2">
        <v>5.3667999999999996</v>
      </c>
      <c r="G153" s="2">
        <v>7.2</v>
      </c>
    </row>
    <row r="154" spans="4:7" x14ac:dyDescent="0.2">
      <c r="D154" s="5">
        <v>44781</v>
      </c>
      <c r="E154" s="2">
        <v>3.2987000000000002</v>
      </c>
      <c r="F154" s="2">
        <v>5.4156000000000004</v>
      </c>
      <c r="G154" s="2">
        <v>7.2</v>
      </c>
    </row>
    <row r="155" spans="4:7" x14ac:dyDescent="0.2">
      <c r="D155" s="5">
        <v>44782</v>
      </c>
      <c r="E155" s="2">
        <v>3.2987000000000002</v>
      </c>
      <c r="F155" s="2">
        <v>5.4115000000000002</v>
      </c>
      <c r="G155" s="2">
        <v>7.2</v>
      </c>
    </row>
    <row r="156" spans="4:7" x14ac:dyDescent="0.2">
      <c r="D156" s="5">
        <v>44783</v>
      </c>
      <c r="E156" s="2">
        <v>3.2987000000000002</v>
      </c>
      <c r="F156" s="2">
        <v>5.4</v>
      </c>
      <c r="G156" s="2">
        <v>7.2</v>
      </c>
    </row>
    <row r="157" spans="4:7" x14ac:dyDescent="0.2">
      <c r="D157" s="5">
        <v>44784</v>
      </c>
      <c r="E157" s="2">
        <v>3.2987000000000002</v>
      </c>
      <c r="F157" s="2">
        <v>5.3334999999999999</v>
      </c>
      <c r="G157" s="2">
        <v>7.2</v>
      </c>
    </row>
    <row r="158" spans="4:7" x14ac:dyDescent="0.2">
      <c r="D158" s="5">
        <v>44785</v>
      </c>
      <c r="E158" s="2">
        <v>3.2987000000000002</v>
      </c>
      <c r="F158" s="2">
        <v>5.3356000000000003</v>
      </c>
      <c r="G158" s="2">
        <v>7.14</v>
      </c>
    </row>
    <row r="159" spans="4:7" x14ac:dyDescent="0.2">
      <c r="D159" s="5">
        <v>44788</v>
      </c>
      <c r="E159" s="2">
        <v>3.2987000000000002</v>
      </c>
      <c r="F159" s="2">
        <v>5.3356000000000003</v>
      </c>
      <c r="G159" s="2">
        <v>7.14</v>
      </c>
    </row>
    <row r="160" spans="4:7" x14ac:dyDescent="0.2">
      <c r="D160" s="5">
        <v>44789</v>
      </c>
      <c r="E160" s="2">
        <v>3.2987000000000002</v>
      </c>
      <c r="F160" s="2">
        <v>5.3667999999999996</v>
      </c>
      <c r="G160" s="2">
        <v>7.14</v>
      </c>
    </row>
    <row r="161" spans="4:7" x14ac:dyDescent="0.2">
      <c r="D161" s="5">
        <v>44790</v>
      </c>
      <c r="E161" s="2">
        <v>3.2987000000000002</v>
      </c>
      <c r="F161" s="2">
        <v>5.3529</v>
      </c>
      <c r="G161" s="2">
        <v>7.14</v>
      </c>
    </row>
    <row r="162" spans="4:7" x14ac:dyDescent="0.2">
      <c r="D162" s="5">
        <v>44791</v>
      </c>
      <c r="E162" s="2">
        <v>3.2987000000000002</v>
      </c>
      <c r="F162" s="2">
        <v>5.37</v>
      </c>
      <c r="G162" s="2">
        <v>7.14</v>
      </c>
    </row>
    <row r="163" spans="4:7" x14ac:dyDescent="0.2">
      <c r="D163" s="5">
        <v>44792</v>
      </c>
      <c r="E163" s="2">
        <v>3.2987000000000002</v>
      </c>
      <c r="F163" s="2">
        <v>5.3</v>
      </c>
      <c r="G163" s="2">
        <v>7.01</v>
      </c>
    </row>
    <row r="164" spans="4:7" x14ac:dyDescent="0.2">
      <c r="D164" s="5">
        <v>44795</v>
      </c>
      <c r="E164" s="2">
        <v>3.2987000000000002</v>
      </c>
      <c r="F164" s="2">
        <v>5.3</v>
      </c>
      <c r="G164" s="2">
        <v>7.01</v>
      </c>
    </row>
    <row r="165" spans="4:7" x14ac:dyDescent="0.2">
      <c r="D165" s="5">
        <v>44796</v>
      </c>
      <c r="E165" s="2">
        <v>3.2987000000000002</v>
      </c>
      <c r="F165" s="2">
        <v>5.3</v>
      </c>
      <c r="G165" s="2">
        <v>7.01</v>
      </c>
    </row>
    <row r="166" spans="4:7" x14ac:dyDescent="0.2">
      <c r="D166" s="5">
        <v>44797</v>
      </c>
      <c r="E166" s="2">
        <v>3.5</v>
      </c>
      <c r="F166" s="2">
        <v>5.3</v>
      </c>
      <c r="G166" s="2">
        <v>7.01</v>
      </c>
    </row>
    <row r="167" spans="4:7" x14ac:dyDescent="0.2">
      <c r="D167" s="5">
        <v>44798</v>
      </c>
      <c r="E167" s="2">
        <v>3.5</v>
      </c>
      <c r="F167" s="2">
        <v>5.3</v>
      </c>
      <c r="G167" s="2">
        <v>7.01</v>
      </c>
    </row>
    <row r="168" spans="4:7" x14ac:dyDescent="0.2">
      <c r="D168" s="5">
        <v>44799</v>
      </c>
      <c r="E168" s="2">
        <v>3.5</v>
      </c>
      <c r="F168" s="2">
        <v>5.3437999999999999</v>
      </c>
      <c r="G168" s="2">
        <v>7</v>
      </c>
    </row>
    <row r="169" spans="4:7" x14ac:dyDescent="0.2">
      <c r="D169" s="5">
        <v>44802</v>
      </c>
      <c r="E169" s="2">
        <v>3.5</v>
      </c>
      <c r="F169" s="2">
        <v>5.3</v>
      </c>
      <c r="G169" s="2">
        <v>7</v>
      </c>
    </row>
    <row r="170" spans="4:7" x14ac:dyDescent="0.2">
      <c r="D170" s="5">
        <v>44803</v>
      </c>
      <c r="E170" s="2">
        <v>3.5</v>
      </c>
      <c r="F170" s="2">
        <v>5.28</v>
      </c>
      <c r="G170" s="2">
        <v>7</v>
      </c>
    </row>
    <row r="171" spans="4:7" x14ac:dyDescent="0.2">
      <c r="D171" s="5">
        <v>44804</v>
      </c>
      <c r="E171" s="2">
        <v>4.3846999999999996</v>
      </c>
      <c r="F171" s="2">
        <v>5.3</v>
      </c>
      <c r="G171" s="2">
        <v>7</v>
      </c>
    </row>
    <row r="172" spans="4:7" x14ac:dyDescent="0.2">
      <c r="D172" s="5">
        <v>44805</v>
      </c>
      <c r="E172" s="2">
        <v>3.2987000000000002</v>
      </c>
      <c r="F172" s="2">
        <v>5.2805</v>
      </c>
      <c r="G172" s="2">
        <v>7</v>
      </c>
    </row>
    <row r="173" spans="4:7" x14ac:dyDescent="0.2">
      <c r="D173" s="5">
        <v>44806</v>
      </c>
      <c r="E173" s="2">
        <v>3.2987000000000002</v>
      </c>
      <c r="F173" s="2">
        <v>5.0936000000000003</v>
      </c>
      <c r="G173" s="2">
        <v>6.86</v>
      </c>
    </row>
    <row r="174" spans="4:7" x14ac:dyDescent="0.2">
      <c r="D174" s="5">
        <v>44809</v>
      </c>
      <c r="E174" s="2">
        <v>3.2987000000000002</v>
      </c>
      <c r="F174" s="2">
        <v>5.1135000000000002</v>
      </c>
      <c r="G174" s="2">
        <v>6.86</v>
      </c>
    </row>
    <row r="175" spans="4:7" x14ac:dyDescent="0.2">
      <c r="D175" s="5">
        <v>44810</v>
      </c>
      <c r="E175" s="2">
        <v>3.2987000000000002</v>
      </c>
      <c r="F175" s="2">
        <v>5.1363000000000003</v>
      </c>
      <c r="G175" s="2">
        <v>6.86</v>
      </c>
    </row>
    <row r="176" spans="4:7" x14ac:dyDescent="0.2">
      <c r="D176" s="5">
        <v>44812</v>
      </c>
      <c r="E176" s="2">
        <v>3.2987000000000002</v>
      </c>
      <c r="F176" s="2">
        <v>5.0723000000000003</v>
      </c>
      <c r="G176" s="2">
        <v>6.86</v>
      </c>
    </row>
    <row r="177" spans="4:7" x14ac:dyDescent="0.2">
      <c r="D177" s="5">
        <v>44813</v>
      </c>
      <c r="E177" s="2">
        <v>3.2987000000000002</v>
      </c>
      <c r="F177" s="2">
        <v>5.0526</v>
      </c>
      <c r="G177" s="2">
        <v>7.02</v>
      </c>
    </row>
    <row r="178" spans="4:7" x14ac:dyDescent="0.2">
      <c r="D178" s="5">
        <v>44816</v>
      </c>
      <c r="E178" s="2">
        <v>3.2987000000000002</v>
      </c>
      <c r="F178" s="2">
        <v>5.0514999999999999</v>
      </c>
      <c r="G178" s="2">
        <v>7.02</v>
      </c>
    </row>
    <row r="179" spans="4:7" x14ac:dyDescent="0.2">
      <c r="D179" s="5">
        <v>44817</v>
      </c>
      <c r="E179" s="2">
        <v>3.2987000000000002</v>
      </c>
      <c r="F179" s="2">
        <v>5.0148999999999999</v>
      </c>
      <c r="G179" s="2">
        <v>7.02</v>
      </c>
    </row>
    <row r="180" spans="4:7" x14ac:dyDescent="0.2">
      <c r="D180" s="5">
        <v>44818</v>
      </c>
      <c r="E180" s="2">
        <v>3.2987000000000002</v>
      </c>
      <c r="F180" s="2">
        <v>5.0096999999999996</v>
      </c>
      <c r="G180" s="2">
        <v>7.02</v>
      </c>
    </row>
    <row r="181" spans="4:7" x14ac:dyDescent="0.2">
      <c r="D181" s="5">
        <v>44819</v>
      </c>
      <c r="E181" s="2">
        <v>3.2987000000000002</v>
      </c>
      <c r="F181" s="2">
        <v>5.0049999999999999</v>
      </c>
      <c r="G181" s="2">
        <v>7.02</v>
      </c>
    </row>
    <row r="182" spans="4:7" x14ac:dyDescent="0.2">
      <c r="D182" s="5">
        <v>44820</v>
      </c>
      <c r="E182" s="2">
        <v>3.5</v>
      </c>
      <c r="F182" s="2">
        <v>5.0000999999999998</v>
      </c>
      <c r="G182" s="2">
        <v>6.0587999999999997</v>
      </c>
    </row>
    <row r="183" spans="4:7" x14ac:dyDescent="0.2">
      <c r="D183" s="5">
        <v>44823</v>
      </c>
      <c r="E183" s="2">
        <v>3.2987000000000002</v>
      </c>
      <c r="F183" s="2">
        <v>5</v>
      </c>
      <c r="G183" s="2">
        <v>6.0587999999999997</v>
      </c>
    </row>
    <row r="184" spans="4:7" x14ac:dyDescent="0.2">
      <c r="D184" s="5">
        <v>44824</v>
      </c>
      <c r="E184" s="2">
        <v>3.2987000000000002</v>
      </c>
      <c r="F184" s="2">
        <v>5</v>
      </c>
      <c r="G184" s="2">
        <v>6</v>
      </c>
    </row>
    <row r="185" spans="4:7" x14ac:dyDescent="0.2">
      <c r="D185" s="5">
        <v>44825</v>
      </c>
      <c r="E185" s="2">
        <v>3.2987000000000002</v>
      </c>
      <c r="F185" s="2">
        <v>5</v>
      </c>
      <c r="G185" s="2">
        <v>6</v>
      </c>
    </row>
    <row r="186" spans="4:7" x14ac:dyDescent="0.2">
      <c r="D186" s="5">
        <v>44826</v>
      </c>
      <c r="E186" s="2">
        <v>3.2987000000000002</v>
      </c>
      <c r="F186" s="2">
        <v>5</v>
      </c>
      <c r="G186" s="2">
        <v>6</v>
      </c>
    </row>
    <row r="187" spans="4:7" x14ac:dyDescent="0.2">
      <c r="D187" s="5">
        <v>44827</v>
      </c>
      <c r="E187" s="2">
        <v>3.2987000000000002</v>
      </c>
      <c r="F187" s="2">
        <v>4.9987000000000004</v>
      </c>
      <c r="G187" s="2">
        <v>7.02</v>
      </c>
    </row>
    <row r="188" spans="4:7" x14ac:dyDescent="0.2">
      <c r="D188" s="5">
        <v>44830</v>
      </c>
      <c r="E188" s="2">
        <v>3.2987000000000002</v>
      </c>
      <c r="F188" s="2">
        <v>4.9984000000000002</v>
      </c>
      <c r="G188" s="2">
        <v>7.02</v>
      </c>
    </row>
    <row r="189" spans="4:7" x14ac:dyDescent="0.2">
      <c r="D189" s="5">
        <v>44831</v>
      </c>
      <c r="E189" s="2">
        <v>3.2987000000000002</v>
      </c>
      <c r="F189" s="2">
        <v>4.9984000000000002</v>
      </c>
      <c r="G189" s="2">
        <v>7.02</v>
      </c>
    </row>
    <row r="190" spans="4:7" x14ac:dyDescent="0.2">
      <c r="D190" s="5">
        <v>44832</v>
      </c>
      <c r="E190" s="2">
        <v>3.2987000000000002</v>
      </c>
      <c r="F190" s="2">
        <v>4.9828999999999999</v>
      </c>
      <c r="G190" s="2">
        <v>7.02</v>
      </c>
    </row>
    <row r="191" spans="4:7" x14ac:dyDescent="0.2">
      <c r="D191" s="5">
        <v>44833</v>
      </c>
      <c r="E191" s="2">
        <v>3.2987000000000002</v>
      </c>
      <c r="F191" s="2">
        <v>4.9828999999999999</v>
      </c>
      <c r="G191" s="2">
        <v>7.02</v>
      </c>
    </row>
    <row r="192" spans="4:7" x14ac:dyDescent="0.2">
      <c r="D192" s="5">
        <v>44834</v>
      </c>
      <c r="E192" s="2">
        <v>3.2987000000000002</v>
      </c>
      <c r="F192" s="2">
        <v>4.9808000000000003</v>
      </c>
      <c r="G192" s="2">
        <v>7</v>
      </c>
    </row>
    <row r="193" spans="4:7" x14ac:dyDescent="0.2">
      <c r="D193" s="5">
        <v>44837</v>
      </c>
      <c r="E193" s="2">
        <v>3.2987000000000002</v>
      </c>
      <c r="F193" s="2">
        <v>4.9718</v>
      </c>
      <c r="G193" s="2">
        <v>7</v>
      </c>
    </row>
    <row r="194" spans="4:7" x14ac:dyDescent="0.2">
      <c r="D194" s="5">
        <v>44838</v>
      </c>
      <c r="E194" s="2">
        <v>3.2987000000000002</v>
      </c>
      <c r="F194" s="2">
        <v>4.9808000000000003</v>
      </c>
      <c r="G194" s="2">
        <v>7</v>
      </c>
    </row>
    <row r="195" spans="4:7" x14ac:dyDescent="0.2">
      <c r="D195" s="5">
        <v>44839</v>
      </c>
      <c r="E195" s="2">
        <v>3.2987000000000002</v>
      </c>
      <c r="F195" s="2">
        <v>4.9808000000000003</v>
      </c>
      <c r="G195" s="2">
        <v>7</v>
      </c>
    </row>
    <row r="196" spans="4:7" x14ac:dyDescent="0.2">
      <c r="D196" s="5">
        <v>44840</v>
      </c>
      <c r="E196" s="2">
        <v>3.2987000000000002</v>
      </c>
      <c r="F196" s="2">
        <v>4.9734999999999996</v>
      </c>
      <c r="G196" s="2">
        <v>7</v>
      </c>
    </row>
    <row r="197" spans="4:7" x14ac:dyDescent="0.2">
      <c r="D197" s="5">
        <v>44841</v>
      </c>
      <c r="E197" s="2">
        <v>3.2987000000000002</v>
      </c>
      <c r="F197" s="2">
        <v>5</v>
      </c>
      <c r="G197" s="2">
        <v>6.95</v>
      </c>
    </row>
    <row r="198" spans="4:7" x14ac:dyDescent="0.2">
      <c r="D198" s="5">
        <v>44844</v>
      </c>
      <c r="E198" s="2">
        <v>3.2987000000000002</v>
      </c>
      <c r="F198" s="2">
        <v>5.0049999999999999</v>
      </c>
      <c r="G198" s="2">
        <v>6.95</v>
      </c>
    </row>
    <row r="199" spans="4:7" x14ac:dyDescent="0.2">
      <c r="D199" s="5">
        <v>44845</v>
      </c>
      <c r="E199" s="2">
        <v>3.2987000000000002</v>
      </c>
      <c r="F199" s="2">
        <v>4.9882</v>
      </c>
      <c r="G199" s="2">
        <v>6.95</v>
      </c>
    </row>
    <row r="200" spans="4:7" x14ac:dyDescent="0.2">
      <c r="D200" s="5">
        <v>44847</v>
      </c>
      <c r="E200" s="2">
        <v>3.2987000000000002</v>
      </c>
      <c r="F200" s="2">
        <v>4.9695999999999998</v>
      </c>
      <c r="G200" s="2">
        <v>6.95</v>
      </c>
    </row>
    <row r="201" spans="4:7" x14ac:dyDescent="0.2">
      <c r="D201" s="5">
        <v>44848</v>
      </c>
      <c r="E201" s="2">
        <v>3.2987000000000002</v>
      </c>
      <c r="F201" s="2">
        <v>4.931</v>
      </c>
      <c r="G201" s="2">
        <v>6.94</v>
      </c>
    </row>
    <row r="202" spans="4:7" x14ac:dyDescent="0.2">
      <c r="D202" s="5">
        <v>44851</v>
      </c>
      <c r="E202" s="2">
        <v>3.2987000000000002</v>
      </c>
      <c r="F202" s="2">
        <v>4.9000000000000004</v>
      </c>
      <c r="G202" s="2">
        <v>6.94</v>
      </c>
    </row>
    <row r="203" spans="4:7" x14ac:dyDescent="0.2">
      <c r="D203" s="5">
        <v>44852</v>
      </c>
      <c r="E203" s="2">
        <v>3.2987000000000002</v>
      </c>
      <c r="F203" s="2">
        <v>4.9000000000000004</v>
      </c>
      <c r="G203" s="2">
        <v>6.94</v>
      </c>
    </row>
    <row r="204" spans="4:7" x14ac:dyDescent="0.2">
      <c r="D204" s="5">
        <v>44853</v>
      </c>
      <c r="E204" s="2">
        <v>3.2987000000000002</v>
      </c>
      <c r="F204" s="2">
        <v>4.9000000000000004</v>
      </c>
      <c r="G204" s="2">
        <v>6.94</v>
      </c>
    </row>
    <row r="205" spans="4:7" x14ac:dyDescent="0.2">
      <c r="D205" s="5">
        <v>44854</v>
      </c>
      <c r="E205" s="2">
        <v>3.2987000000000002</v>
      </c>
      <c r="F205" s="2">
        <v>4.9028999999999998</v>
      </c>
      <c r="G205" s="2">
        <v>6.94</v>
      </c>
    </row>
    <row r="206" spans="4:7" x14ac:dyDescent="0.2">
      <c r="D206" s="5">
        <v>44855</v>
      </c>
      <c r="E206" s="2">
        <v>3.2987000000000002</v>
      </c>
      <c r="F206" s="2">
        <v>4.9219999999999997</v>
      </c>
      <c r="G206" s="2">
        <v>6.6</v>
      </c>
    </row>
    <row r="207" spans="4:7" x14ac:dyDescent="0.2">
      <c r="D207" s="5">
        <v>44858</v>
      </c>
      <c r="E207" s="2">
        <v>3.2987000000000002</v>
      </c>
      <c r="F207" s="2">
        <v>4.9374000000000002</v>
      </c>
      <c r="G207" s="2">
        <v>6.6</v>
      </c>
    </row>
    <row r="208" spans="4:7" x14ac:dyDescent="0.2">
      <c r="D208" s="5">
        <v>44859</v>
      </c>
      <c r="E208" s="2">
        <v>3.2987000000000002</v>
      </c>
      <c r="F208" s="2">
        <v>4.9368999999999996</v>
      </c>
      <c r="G208" s="2">
        <v>6.6</v>
      </c>
    </row>
    <row r="209" spans="4:7" x14ac:dyDescent="0.2">
      <c r="D209" s="5">
        <v>44860</v>
      </c>
      <c r="E209" s="2">
        <v>3.2987000000000002</v>
      </c>
      <c r="F209" s="2">
        <v>4.9427000000000003</v>
      </c>
      <c r="G209" s="2">
        <v>6.6</v>
      </c>
    </row>
    <row r="210" spans="4:7" x14ac:dyDescent="0.2">
      <c r="D210" s="5">
        <v>44861</v>
      </c>
      <c r="E210" s="2">
        <v>3.2987000000000002</v>
      </c>
      <c r="F210" s="2">
        <v>4.9066000000000001</v>
      </c>
      <c r="G210" s="2">
        <v>6.6</v>
      </c>
    </row>
    <row r="211" spans="4:7" x14ac:dyDescent="0.2">
      <c r="D211" s="5">
        <v>44862</v>
      </c>
      <c r="E211" s="2">
        <v>3.2987000000000002</v>
      </c>
      <c r="F211" s="2">
        <v>4.9686000000000003</v>
      </c>
      <c r="G211" s="2">
        <v>6.9</v>
      </c>
    </row>
    <row r="212" spans="4:7" x14ac:dyDescent="0.2">
      <c r="D212" s="5">
        <v>44865</v>
      </c>
      <c r="E212" s="2">
        <v>4.1769999999999996</v>
      </c>
      <c r="F212" s="2">
        <v>4.9686000000000003</v>
      </c>
      <c r="G212" s="2">
        <v>6.9</v>
      </c>
    </row>
    <row r="213" spans="4:7" x14ac:dyDescent="0.2">
      <c r="D213" s="5">
        <v>44866</v>
      </c>
      <c r="E213" s="2">
        <v>3.2987000000000002</v>
      </c>
      <c r="F213" s="2">
        <v>4.9686000000000003</v>
      </c>
      <c r="G213" s="2">
        <v>6.9</v>
      </c>
    </row>
    <row r="214" spans="4:7" x14ac:dyDescent="0.2">
      <c r="D214" s="5">
        <v>44868</v>
      </c>
      <c r="E214" s="2">
        <v>3.2987000000000002</v>
      </c>
      <c r="F214" s="2">
        <v>4.9233000000000002</v>
      </c>
      <c r="G214" s="2">
        <v>6.9</v>
      </c>
    </row>
    <row r="215" spans="4:7" x14ac:dyDescent="0.2">
      <c r="D215" s="5">
        <v>44869</v>
      </c>
      <c r="E215" s="2">
        <v>3.2987000000000002</v>
      </c>
      <c r="F215" s="2">
        <v>4.9400000000000004</v>
      </c>
      <c r="G215" s="2">
        <v>6.95</v>
      </c>
    </row>
    <row r="216" spans="4:7" x14ac:dyDescent="0.2">
      <c r="D216" s="5">
        <v>44872</v>
      </c>
      <c r="E216" s="2">
        <v>3.2987000000000002</v>
      </c>
      <c r="F216" s="2">
        <v>4.9377000000000004</v>
      </c>
      <c r="G216" s="2">
        <v>6.95</v>
      </c>
    </row>
    <row r="217" spans="4:7" x14ac:dyDescent="0.2">
      <c r="D217" s="5">
        <v>44873</v>
      </c>
      <c r="E217" s="2">
        <v>3.2987000000000002</v>
      </c>
      <c r="F217" s="2">
        <v>4.9210000000000003</v>
      </c>
      <c r="G217" s="2">
        <v>6.95</v>
      </c>
    </row>
    <row r="218" spans="4:7" x14ac:dyDescent="0.2">
      <c r="D218" s="5">
        <v>44874</v>
      </c>
      <c r="E218" s="2">
        <v>3.2987000000000002</v>
      </c>
      <c r="F218" s="2">
        <v>4.9210000000000003</v>
      </c>
      <c r="G218" s="2">
        <v>6.95</v>
      </c>
    </row>
    <row r="219" spans="4:7" x14ac:dyDescent="0.2">
      <c r="D219" s="5">
        <v>44875</v>
      </c>
      <c r="E219" s="2">
        <v>3.2987000000000002</v>
      </c>
      <c r="F219" s="2">
        <v>4.9210000000000003</v>
      </c>
      <c r="G219" s="2">
        <v>6.95</v>
      </c>
    </row>
    <row r="220" spans="4:7" x14ac:dyDescent="0.2">
      <c r="D220" s="5">
        <v>44876</v>
      </c>
      <c r="E220" s="2">
        <v>3.2987000000000002</v>
      </c>
      <c r="F220" s="2">
        <v>4.9368999999999996</v>
      </c>
      <c r="G220" s="2">
        <v>6.99</v>
      </c>
    </row>
    <row r="221" spans="4:7" x14ac:dyDescent="0.2">
      <c r="D221" s="5">
        <v>44879</v>
      </c>
      <c r="E221" s="2">
        <v>4</v>
      </c>
      <c r="F221" s="2">
        <v>4.9471999999999996</v>
      </c>
      <c r="G221" s="2">
        <v>6.99</v>
      </c>
    </row>
    <row r="222" spans="4:7" x14ac:dyDescent="0.2">
      <c r="D222" s="5">
        <v>44881</v>
      </c>
      <c r="E222" s="2">
        <v>4</v>
      </c>
      <c r="F222" s="2">
        <v>4.95</v>
      </c>
      <c r="G222" s="2">
        <v>6.99</v>
      </c>
    </row>
    <row r="223" spans="4:7" x14ac:dyDescent="0.2">
      <c r="D223" s="5">
        <v>44882</v>
      </c>
      <c r="E223" s="2">
        <v>4</v>
      </c>
      <c r="F223" s="2">
        <v>4.9690000000000003</v>
      </c>
      <c r="G223" s="2">
        <v>6.99</v>
      </c>
    </row>
    <row r="224" spans="4:7" x14ac:dyDescent="0.2">
      <c r="D224" s="5">
        <v>44883</v>
      </c>
      <c r="E224" s="2">
        <v>3.4016000000000002</v>
      </c>
      <c r="F224" s="2">
        <v>5.0107999999999997</v>
      </c>
      <c r="G224" s="2">
        <v>6.99</v>
      </c>
    </row>
    <row r="225" spans="4:7" x14ac:dyDescent="0.2">
      <c r="D225" s="5">
        <v>44886</v>
      </c>
      <c r="E225" s="2">
        <v>3.4016000000000002</v>
      </c>
      <c r="F225" s="2">
        <v>5.0294999999999996</v>
      </c>
      <c r="G225" s="2">
        <v>6.99</v>
      </c>
    </row>
    <row r="226" spans="4:7" x14ac:dyDescent="0.2">
      <c r="D226" s="5">
        <v>44887</v>
      </c>
      <c r="E226" s="2">
        <v>3.4016000000000002</v>
      </c>
      <c r="F226" s="2">
        <v>5.0414000000000003</v>
      </c>
      <c r="G226" s="2">
        <v>6.99</v>
      </c>
    </row>
    <row r="227" spans="4:7" x14ac:dyDescent="0.2">
      <c r="D227" s="5">
        <v>44888</v>
      </c>
      <c r="E227" s="2">
        <v>3.4016000000000002</v>
      </c>
      <c r="F227" s="2">
        <v>5.0518000000000001</v>
      </c>
      <c r="G227" s="2">
        <v>6.99</v>
      </c>
    </row>
    <row r="228" spans="4:7" x14ac:dyDescent="0.2">
      <c r="D228" s="5">
        <v>44889</v>
      </c>
      <c r="E228" s="2">
        <v>3.4016000000000002</v>
      </c>
      <c r="F228" s="2">
        <v>5.0312999999999999</v>
      </c>
      <c r="G228" s="2">
        <v>6.99</v>
      </c>
    </row>
    <row r="229" spans="4:7" x14ac:dyDescent="0.2">
      <c r="D229" s="5">
        <v>44890</v>
      </c>
      <c r="E229" s="2">
        <v>4</v>
      </c>
      <c r="F229" s="2">
        <v>5</v>
      </c>
      <c r="G229" s="2">
        <v>7</v>
      </c>
    </row>
    <row r="230" spans="4:7" x14ac:dyDescent="0.2">
      <c r="D230" s="5">
        <v>44893</v>
      </c>
      <c r="E230" s="2">
        <v>4</v>
      </c>
      <c r="F230" s="2">
        <v>5.0147000000000004</v>
      </c>
      <c r="G230" s="2">
        <v>7</v>
      </c>
    </row>
    <row r="231" spans="4:7" x14ac:dyDescent="0.2">
      <c r="D231" s="5">
        <v>44894</v>
      </c>
      <c r="E231" s="2">
        <v>4</v>
      </c>
      <c r="F231" s="2">
        <v>5.0147000000000004</v>
      </c>
      <c r="G231" s="2">
        <v>7</v>
      </c>
    </row>
    <row r="232" spans="4:7" x14ac:dyDescent="0.2">
      <c r="D232" s="5">
        <v>44895</v>
      </c>
      <c r="E232" s="2">
        <v>3.4016000000000002</v>
      </c>
      <c r="F232" s="2">
        <v>5.0107999999999997</v>
      </c>
      <c r="G232" s="2">
        <v>7</v>
      </c>
    </row>
    <row r="233" spans="4:7" x14ac:dyDescent="0.2">
      <c r="D233" s="5">
        <v>44896</v>
      </c>
      <c r="E233" s="2">
        <v>3.4016000000000002</v>
      </c>
      <c r="F233" s="2">
        <v>5</v>
      </c>
      <c r="G233" s="2">
        <v>7</v>
      </c>
    </row>
    <row r="234" spans="4:7" x14ac:dyDescent="0.2">
      <c r="D234" s="5">
        <v>44897</v>
      </c>
      <c r="E234" s="2">
        <v>3.4016000000000002</v>
      </c>
      <c r="F234" s="2">
        <v>5.1052999999999997</v>
      </c>
      <c r="G234" s="2">
        <v>6.2074999999999996</v>
      </c>
    </row>
    <row r="235" spans="4:7" x14ac:dyDescent="0.2">
      <c r="D235" s="5">
        <v>44900</v>
      </c>
      <c r="E235" s="2">
        <v>3.4016000000000002</v>
      </c>
      <c r="F235" s="2">
        <v>5.1508000000000003</v>
      </c>
      <c r="G235" s="2">
        <v>6.2074999999999996</v>
      </c>
    </row>
    <row r="236" spans="4:7" x14ac:dyDescent="0.2">
      <c r="D236" s="5">
        <v>44901</v>
      </c>
      <c r="E236" s="2">
        <v>3.4016000000000002</v>
      </c>
      <c r="F236" s="2">
        <v>5.1153000000000004</v>
      </c>
      <c r="G236" s="2">
        <v>6.2074999999999996</v>
      </c>
    </row>
    <row r="237" spans="4:7" x14ac:dyDescent="0.2">
      <c r="D237" s="5">
        <v>44902</v>
      </c>
      <c r="E237" s="2">
        <v>3.4016000000000002</v>
      </c>
      <c r="F237" s="2">
        <v>5.1052999999999997</v>
      </c>
      <c r="G237" s="2">
        <v>6.2074999999999996</v>
      </c>
    </row>
    <row r="238" spans="4:7" x14ac:dyDescent="0.2">
      <c r="D238" s="5">
        <v>44903</v>
      </c>
      <c r="E238" s="2">
        <v>3.4016000000000002</v>
      </c>
      <c r="F238" s="2">
        <v>5.1052</v>
      </c>
      <c r="G238" s="2">
        <v>6.2074999999999996</v>
      </c>
    </row>
    <row r="239" spans="4:7" x14ac:dyDescent="0.2">
      <c r="D239" s="5">
        <v>44904</v>
      </c>
      <c r="E239" s="2">
        <v>3.4016000000000002</v>
      </c>
      <c r="F239" s="2">
        <v>5.0496999999999996</v>
      </c>
      <c r="G239" s="2">
        <v>6.88</v>
      </c>
    </row>
    <row r="240" spans="4:7" x14ac:dyDescent="0.2">
      <c r="D240" s="5">
        <v>44907</v>
      </c>
      <c r="E240" s="2">
        <v>3.4016000000000002</v>
      </c>
      <c r="F240" s="2">
        <v>5.0303000000000004</v>
      </c>
      <c r="G240" s="2">
        <v>6.88</v>
      </c>
    </row>
    <row r="241" spans="4:7" x14ac:dyDescent="0.2">
      <c r="D241" s="5">
        <v>44908</v>
      </c>
      <c r="E241" s="2">
        <v>3.4016000000000002</v>
      </c>
      <c r="F241" s="2">
        <v>5.0003000000000002</v>
      </c>
      <c r="G241" s="2">
        <v>6.88</v>
      </c>
    </row>
    <row r="242" spans="4:7" x14ac:dyDescent="0.2">
      <c r="D242" s="5">
        <v>44909</v>
      </c>
      <c r="E242" s="2">
        <v>3.4016000000000002</v>
      </c>
      <c r="F242" s="2">
        <v>5.0107999999999997</v>
      </c>
      <c r="G242" s="2">
        <v>6.88</v>
      </c>
    </row>
    <row r="243" spans="4:7" x14ac:dyDescent="0.2">
      <c r="D243" s="5">
        <v>44910</v>
      </c>
      <c r="E243" s="2">
        <v>3.4016000000000002</v>
      </c>
      <c r="F243" s="2">
        <v>5.0616000000000003</v>
      </c>
      <c r="G243" s="2">
        <v>6.88</v>
      </c>
    </row>
    <row r="244" spans="4:7" x14ac:dyDescent="0.2">
      <c r="D244" s="5">
        <v>44911</v>
      </c>
      <c r="E244" s="2">
        <v>3.4016000000000002</v>
      </c>
      <c r="F244" s="2">
        <v>5.1205999999999996</v>
      </c>
      <c r="G244" s="2">
        <v>6.952</v>
      </c>
    </row>
    <row r="245" spans="4:7" x14ac:dyDescent="0.2">
      <c r="D245" s="5">
        <v>44914</v>
      </c>
      <c r="E245" s="2">
        <v>3.4016000000000002</v>
      </c>
      <c r="F245" s="2">
        <v>5.1890000000000001</v>
      </c>
      <c r="G245" s="2">
        <v>6.952</v>
      </c>
    </row>
    <row r="246" spans="4:7" x14ac:dyDescent="0.2">
      <c r="D246" s="5">
        <v>44915</v>
      </c>
      <c r="E246" s="2">
        <v>3.4016000000000002</v>
      </c>
      <c r="F246" s="2">
        <v>5.2</v>
      </c>
      <c r="G246" s="2">
        <v>6.952</v>
      </c>
    </row>
    <row r="247" spans="4:7" x14ac:dyDescent="0.2">
      <c r="D247" s="5">
        <v>44916</v>
      </c>
      <c r="E247" s="2">
        <v>3.4016000000000002</v>
      </c>
      <c r="F247" s="2">
        <v>5.2</v>
      </c>
      <c r="G247" s="2">
        <v>6.952</v>
      </c>
    </row>
    <row r="248" spans="4:7" x14ac:dyDescent="0.2">
      <c r="D248" s="5">
        <v>44917</v>
      </c>
      <c r="E248" s="2">
        <v>3.4016000000000002</v>
      </c>
      <c r="F248" s="2">
        <v>5.2</v>
      </c>
      <c r="G248" s="2">
        <v>6.952</v>
      </c>
    </row>
    <row r="249" spans="4:7" x14ac:dyDescent="0.2">
      <c r="D249" s="5">
        <v>44918</v>
      </c>
      <c r="E249" s="2">
        <v>3.4016000000000002</v>
      </c>
      <c r="F249" s="2">
        <v>5.2436999999999996</v>
      </c>
      <c r="G249" s="2">
        <v>6.93</v>
      </c>
    </row>
    <row r="250" spans="4:7" x14ac:dyDescent="0.2">
      <c r="D250" s="5">
        <v>44921</v>
      </c>
      <c r="E250" s="2">
        <v>3.4016000000000002</v>
      </c>
      <c r="F250" s="2">
        <v>5.2720000000000002</v>
      </c>
      <c r="G250" s="2">
        <v>6.93</v>
      </c>
    </row>
    <row r="251" spans="4:7" x14ac:dyDescent="0.2">
      <c r="D251" s="5">
        <v>44922</v>
      </c>
      <c r="E251" s="2">
        <v>4.2083000000000004</v>
      </c>
      <c r="F251" s="2">
        <v>5.2820999999999998</v>
      </c>
      <c r="G251" s="2">
        <v>6.93</v>
      </c>
    </row>
    <row r="252" spans="4:7" x14ac:dyDescent="0.2">
      <c r="D252" s="5">
        <v>44923</v>
      </c>
      <c r="E252" s="2">
        <v>4.2083000000000004</v>
      </c>
      <c r="F252" s="2">
        <v>5.3345000000000002</v>
      </c>
      <c r="G252" s="2">
        <v>6.93</v>
      </c>
    </row>
    <row r="253" spans="4:7" x14ac:dyDescent="0.2">
      <c r="D253" s="5">
        <v>44924</v>
      </c>
      <c r="E253" s="2">
        <v>4.4474</v>
      </c>
      <c r="F253" s="2">
        <v>5.3921999999999999</v>
      </c>
      <c r="G253" s="2">
        <v>6.93</v>
      </c>
    </row>
    <row r="254" spans="4:7" x14ac:dyDescent="0.2">
      <c r="D254" s="5">
        <v>44925</v>
      </c>
      <c r="E254" s="2">
        <v>4.4565999999999999</v>
      </c>
      <c r="F254" s="2">
        <v>5.4488000000000003</v>
      </c>
      <c r="G254" s="2">
        <v>6.93</v>
      </c>
    </row>
    <row r="255" spans="4:7" x14ac:dyDescent="0.2">
      <c r="D255" s="5">
        <v>44928</v>
      </c>
      <c r="E255" s="2">
        <v>4.5197000000000003</v>
      </c>
      <c r="F255" s="2">
        <v>5.4630999999999998</v>
      </c>
      <c r="G255" s="2">
        <v>6.93</v>
      </c>
    </row>
    <row r="256" spans="4:7" x14ac:dyDescent="0.2">
      <c r="D256" s="5">
        <v>44929</v>
      </c>
      <c r="E256" s="2">
        <v>4.5091999999999999</v>
      </c>
      <c r="F256" s="2">
        <v>5.4488000000000003</v>
      </c>
      <c r="G256" s="2">
        <v>6.93</v>
      </c>
    </row>
    <row r="257" spans="4:7" x14ac:dyDescent="0.2">
      <c r="D257" s="5">
        <v>44930</v>
      </c>
      <c r="E257" s="2">
        <v>4.5091999999999999</v>
      </c>
      <c r="F257" s="2">
        <v>5.3970000000000002</v>
      </c>
      <c r="G257" s="2">
        <v>6.93</v>
      </c>
    </row>
    <row r="258" spans="4:7" x14ac:dyDescent="0.2">
      <c r="D258" s="5">
        <v>44931</v>
      </c>
      <c r="E258" s="2">
        <v>4.5091999999999999</v>
      </c>
      <c r="F258" s="2">
        <v>5.4244000000000003</v>
      </c>
      <c r="G258" s="2">
        <v>6.2712000000000003</v>
      </c>
    </row>
    <row r="259" spans="4:7" x14ac:dyDescent="0.2">
      <c r="D259" s="5">
        <v>44932</v>
      </c>
      <c r="E259" s="2">
        <v>4.4775999999999998</v>
      </c>
      <c r="F259" s="2">
        <v>5.4774000000000003</v>
      </c>
      <c r="G259" s="2">
        <v>6.93</v>
      </c>
    </row>
    <row r="260" spans="4:7" x14ac:dyDescent="0.2">
      <c r="D260" s="5">
        <v>44935</v>
      </c>
      <c r="E260" s="2">
        <v>4.4775999999999998</v>
      </c>
      <c r="F260" s="2">
        <v>5.4188999999999998</v>
      </c>
      <c r="G260" s="2">
        <v>6.93</v>
      </c>
    </row>
    <row r="261" spans="4:7" x14ac:dyDescent="0.2">
      <c r="D261" s="5">
        <v>44936</v>
      </c>
      <c r="E261" s="2">
        <v>4.4474</v>
      </c>
      <c r="F261" s="2">
        <v>5.4785000000000004</v>
      </c>
      <c r="G261" s="2">
        <v>6.93</v>
      </c>
    </row>
    <row r="262" spans="4:7" x14ac:dyDescent="0.2">
      <c r="D262" s="5">
        <v>44937</v>
      </c>
      <c r="E262" s="2">
        <v>4.4474</v>
      </c>
      <c r="F262" s="2">
        <v>5.4795999999999996</v>
      </c>
      <c r="G262" s="2">
        <v>6.93</v>
      </c>
    </row>
    <row r="263" spans="4:7" x14ac:dyDescent="0.2">
      <c r="D263" s="5">
        <v>44938</v>
      </c>
      <c r="E263" s="2">
        <v>4.4474</v>
      </c>
      <c r="F263" s="2">
        <v>5.4481999999999999</v>
      </c>
      <c r="G263" s="2">
        <v>6.93</v>
      </c>
    </row>
    <row r="264" spans="4:7" x14ac:dyDescent="0.2">
      <c r="D264" s="5">
        <v>44939</v>
      </c>
      <c r="E264" s="2">
        <v>4.4474</v>
      </c>
      <c r="F264" s="2">
        <v>5.3967000000000001</v>
      </c>
      <c r="G264" s="2">
        <v>6.89</v>
      </c>
    </row>
    <row r="265" spans="4:7" x14ac:dyDescent="0.2">
      <c r="D265" s="5">
        <v>44942</v>
      </c>
      <c r="E265" s="2">
        <v>3.5047000000000001</v>
      </c>
      <c r="F265" s="2">
        <v>5.4695</v>
      </c>
      <c r="G265" s="2">
        <v>6.89</v>
      </c>
    </row>
    <row r="266" spans="4:7" x14ac:dyDescent="0.2">
      <c r="D266" s="5">
        <v>44943</v>
      </c>
      <c r="E266" s="2">
        <v>3.5047000000000001</v>
      </c>
      <c r="F266" s="2">
        <v>5.5162000000000004</v>
      </c>
      <c r="G266" s="2">
        <v>6.89</v>
      </c>
    </row>
    <row r="267" spans="4:7" x14ac:dyDescent="0.2">
      <c r="D267" s="5">
        <v>44944</v>
      </c>
      <c r="E267" s="2">
        <v>3.5047000000000001</v>
      </c>
      <c r="F267" s="2">
        <v>5.5453999999999999</v>
      </c>
      <c r="G267" s="2">
        <v>6.89</v>
      </c>
    </row>
    <row r="268" spans="4:7" x14ac:dyDescent="0.2">
      <c r="D268" s="5">
        <v>44945</v>
      </c>
      <c r="E268" s="2">
        <v>3.5047000000000001</v>
      </c>
      <c r="F268" s="2">
        <v>5.5</v>
      </c>
      <c r="G268" s="2">
        <v>6.89</v>
      </c>
    </row>
    <row r="269" spans="4:7" x14ac:dyDescent="0.2">
      <c r="D269" s="5">
        <v>44946</v>
      </c>
      <c r="E269" s="2">
        <v>3.5047000000000001</v>
      </c>
      <c r="F269" s="2">
        <v>5.4911000000000003</v>
      </c>
      <c r="G269" s="2">
        <v>7.0303000000000004</v>
      </c>
    </row>
    <row r="270" spans="4:7" x14ac:dyDescent="0.2">
      <c r="D270" s="5">
        <v>44949</v>
      </c>
      <c r="E270" s="2">
        <v>4.4359000000000002</v>
      </c>
      <c r="F270" s="2">
        <v>5.5</v>
      </c>
      <c r="G270" s="2">
        <v>7.0303000000000004</v>
      </c>
    </row>
    <row r="271" spans="4:7" x14ac:dyDescent="0.2">
      <c r="D271" s="5">
        <v>44950</v>
      </c>
      <c r="E271" s="2">
        <v>4.4359000000000002</v>
      </c>
      <c r="F271" s="2">
        <v>5.5000999999999998</v>
      </c>
      <c r="G271" s="2">
        <v>7.0303000000000004</v>
      </c>
    </row>
    <row r="272" spans="4:7" x14ac:dyDescent="0.2">
      <c r="D272" s="5">
        <v>44951</v>
      </c>
      <c r="E272" s="2">
        <v>4.4359000000000002</v>
      </c>
      <c r="F272" s="2">
        <v>5.5228999999999999</v>
      </c>
      <c r="G272" s="2">
        <v>7.0303000000000004</v>
      </c>
    </row>
    <row r="273" spans="4:7" x14ac:dyDescent="0.2">
      <c r="D273" s="5">
        <v>44952</v>
      </c>
      <c r="E273" s="2">
        <v>3.9701</v>
      </c>
      <c r="F273" s="2">
        <v>5.5282999999999998</v>
      </c>
      <c r="G273" s="2">
        <v>7.0303000000000004</v>
      </c>
    </row>
    <row r="274" spans="4:7" x14ac:dyDescent="0.2">
      <c r="D274" s="5">
        <v>44953</v>
      </c>
      <c r="E274" s="2">
        <v>3.9701</v>
      </c>
      <c r="F274" s="2">
        <v>5.8</v>
      </c>
      <c r="G274" s="2">
        <v>6.9</v>
      </c>
    </row>
    <row r="275" spans="4:7" x14ac:dyDescent="0.2">
      <c r="D275" s="5">
        <v>44956</v>
      </c>
      <c r="E275" s="2">
        <v>3.9701</v>
      </c>
      <c r="F275" s="2">
        <v>5.8</v>
      </c>
      <c r="G275" s="2">
        <v>6.9</v>
      </c>
    </row>
    <row r="276" spans="4:7" x14ac:dyDescent="0.2">
      <c r="D276" s="5">
        <v>44957</v>
      </c>
      <c r="E276" s="2">
        <v>3.9701</v>
      </c>
      <c r="F276" s="2">
        <v>5.8</v>
      </c>
      <c r="G276" s="2">
        <v>6.9911000000000003</v>
      </c>
    </row>
    <row r="277" spans="4:7" x14ac:dyDescent="0.2">
      <c r="D277" s="5">
        <v>44958</v>
      </c>
      <c r="E277" s="2">
        <v>3.9701</v>
      </c>
      <c r="F277" s="2">
        <v>5.8385999999999996</v>
      </c>
      <c r="G277" s="2">
        <v>6.9911000000000003</v>
      </c>
    </row>
    <row r="278" spans="4:7" x14ac:dyDescent="0.2">
      <c r="D278" s="5">
        <v>44959</v>
      </c>
      <c r="E278" s="2">
        <v>4.0218999999999996</v>
      </c>
      <c r="F278" s="2">
        <v>5.8587999999999996</v>
      </c>
      <c r="G278" s="2">
        <v>6.9911000000000003</v>
      </c>
    </row>
    <row r="279" spans="4:7" x14ac:dyDescent="0.2">
      <c r="D279" s="5">
        <v>44960</v>
      </c>
      <c r="E279" s="2">
        <v>4.0218999999999996</v>
      </c>
      <c r="F279" s="2">
        <v>5.7779999999999996</v>
      </c>
      <c r="G279" s="2">
        <v>6.9911000000000003</v>
      </c>
    </row>
    <row r="280" spans="4:7" x14ac:dyDescent="0.2">
      <c r="D280" s="5">
        <v>44963</v>
      </c>
      <c r="E280" s="2">
        <v>4.0218999999999996</v>
      </c>
      <c r="F280" s="2">
        <v>5.7759</v>
      </c>
      <c r="G280" s="2">
        <v>6.9911000000000003</v>
      </c>
    </row>
    <row r="281" spans="4:7" x14ac:dyDescent="0.2">
      <c r="D281" s="5">
        <v>44964</v>
      </c>
      <c r="E281" s="2">
        <v>4.0218999999999996</v>
      </c>
      <c r="F281" s="2">
        <v>5.7758000000000003</v>
      </c>
      <c r="G281" s="2">
        <v>6.8642000000000003</v>
      </c>
    </row>
    <row r="282" spans="4:7" x14ac:dyDescent="0.2">
      <c r="D282" s="5">
        <v>44965</v>
      </c>
      <c r="E282" s="2">
        <v>3.6078000000000001</v>
      </c>
      <c r="F282" s="2">
        <v>5.7976999999999999</v>
      </c>
      <c r="G282" s="2">
        <v>6.8642000000000003</v>
      </c>
    </row>
    <row r="283" spans="4:7" x14ac:dyDescent="0.2">
      <c r="D283" s="5">
        <v>44966</v>
      </c>
      <c r="E283" s="2">
        <v>3.6387</v>
      </c>
      <c r="F283" s="2">
        <v>5.8</v>
      </c>
      <c r="G283" s="2">
        <v>6.8960999999999997</v>
      </c>
    </row>
    <row r="284" spans="4:7" x14ac:dyDescent="0.2">
      <c r="D284" s="5">
        <v>44967</v>
      </c>
      <c r="E284" s="2">
        <v>3.6387</v>
      </c>
      <c r="F284" s="2">
        <v>5.7742000000000004</v>
      </c>
      <c r="G284" s="2">
        <v>6.9165999999999999</v>
      </c>
    </row>
    <row r="285" spans="4:7" x14ac:dyDescent="0.2">
      <c r="D285" s="5">
        <v>44970</v>
      </c>
      <c r="E285" s="2">
        <v>3.6387</v>
      </c>
      <c r="F285" s="2">
        <v>5.7698999999999998</v>
      </c>
      <c r="G285" s="2">
        <v>6.9165999999999999</v>
      </c>
    </row>
    <row r="286" spans="4:7" x14ac:dyDescent="0.2">
      <c r="D286" s="5">
        <v>44971</v>
      </c>
      <c r="E286" s="2">
        <v>3.6387</v>
      </c>
      <c r="F286" s="2">
        <v>5.7743000000000002</v>
      </c>
      <c r="G286" s="2">
        <v>6.9165999999999999</v>
      </c>
    </row>
    <row r="287" spans="4:7" x14ac:dyDescent="0.2">
      <c r="D287" s="5">
        <v>44972</v>
      </c>
      <c r="E287" s="2">
        <v>3.6387</v>
      </c>
      <c r="F287" s="2">
        <v>5.7853000000000003</v>
      </c>
      <c r="G287" s="2">
        <v>6.9165999999999999</v>
      </c>
    </row>
    <row r="288" spans="4:7" x14ac:dyDescent="0.2">
      <c r="D288" s="5">
        <v>44973</v>
      </c>
      <c r="E288" s="2">
        <v>4.8410000000000002</v>
      </c>
      <c r="F288" s="2">
        <v>5.8182</v>
      </c>
      <c r="G288" s="2">
        <v>6.9165999999999999</v>
      </c>
    </row>
    <row r="289" spans="4:7" x14ac:dyDescent="0.2">
      <c r="D289" s="5">
        <v>44974</v>
      </c>
      <c r="E289" s="2">
        <v>4.4668000000000001</v>
      </c>
      <c r="F289" s="2">
        <v>5.97</v>
      </c>
      <c r="G289" s="2">
        <v>6.8330000000000002</v>
      </c>
    </row>
    <row r="290" spans="4:7" x14ac:dyDescent="0.2">
      <c r="D290" s="5">
        <v>44979</v>
      </c>
      <c r="E290" s="2">
        <v>4.4668000000000001</v>
      </c>
      <c r="F290" s="2">
        <v>5.96</v>
      </c>
      <c r="G290" s="2">
        <v>6.9165999999999999</v>
      </c>
    </row>
    <row r="291" spans="4:7" x14ac:dyDescent="0.2">
      <c r="D291" s="5">
        <v>44980</v>
      </c>
      <c r="E291" s="2">
        <v>4.4668000000000001</v>
      </c>
      <c r="F291" s="2">
        <v>5.9554999999999998</v>
      </c>
      <c r="G291" s="2">
        <v>6.9165999999999999</v>
      </c>
    </row>
    <row r="292" spans="4:7" x14ac:dyDescent="0.2">
      <c r="D292" s="5">
        <v>44981</v>
      </c>
      <c r="E292" s="2">
        <v>4.4668000000000001</v>
      </c>
      <c r="F292" s="2">
        <v>5.9344999999999999</v>
      </c>
      <c r="G292" s="2">
        <v>6.9165999999999999</v>
      </c>
    </row>
    <row r="293" spans="4:7" x14ac:dyDescent="0.2">
      <c r="D293" s="5">
        <v>44984</v>
      </c>
      <c r="E293" s="2">
        <v>4.4668000000000001</v>
      </c>
      <c r="F293" s="2">
        <v>5.9345999999999997</v>
      </c>
      <c r="G293" s="2">
        <v>6.9165999999999999</v>
      </c>
    </row>
    <row r="294" spans="4:7" x14ac:dyDescent="0.2">
      <c r="D294" s="5">
        <v>44985</v>
      </c>
      <c r="E294" s="2">
        <v>4.4211</v>
      </c>
      <c r="F294" s="2">
        <v>5.9</v>
      </c>
      <c r="G294" s="2">
        <v>6.9165999999999999</v>
      </c>
    </row>
    <row r="295" spans="4:7" x14ac:dyDescent="0.2">
      <c r="D295" s="5">
        <v>44986</v>
      </c>
      <c r="E295" s="2">
        <v>4.3692000000000002</v>
      </c>
      <c r="F295" s="2">
        <v>5.8478000000000003</v>
      </c>
      <c r="G295" s="2">
        <v>6.8864999999999998</v>
      </c>
    </row>
    <row r="296" spans="4:7" x14ac:dyDescent="0.2">
      <c r="D296" s="5">
        <v>44987</v>
      </c>
      <c r="E296" s="2">
        <v>4.4211</v>
      </c>
      <c r="F296" s="2">
        <v>5.8288000000000002</v>
      </c>
      <c r="G296" s="2">
        <v>6.8864999999999998</v>
      </c>
    </row>
    <row r="297" spans="4:7" x14ac:dyDescent="0.2">
      <c r="D297" s="5">
        <v>44988</v>
      </c>
      <c r="E297" s="2">
        <v>4.4211</v>
      </c>
      <c r="F297" s="2">
        <v>5.9116999999999997</v>
      </c>
      <c r="G297" s="2">
        <v>6.8654000000000002</v>
      </c>
    </row>
    <row r="298" spans="4:7" x14ac:dyDescent="0.2">
      <c r="D298" s="5">
        <v>44991</v>
      </c>
      <c r="E298" s="2">
        <v>4.6242999999999999</v>
      </c>
      <c r="F298" s="2">
        <v>5.9013</v>
      </c>
      <c r="G298" s="2">
        <v>6.8654000000000002</v>
      </c>
    </row>
    <row r="299" spans="4:7" x14ac:dyDescent="0.2">
      <c r="D299" s="5">
        <v>44992</v>
      </c>
      <c r="E299" s="2">
        <v>4.6242999999999999</v>
      </c>
      <c r="F299" s="2">
        <v>5.9013</v>
      </c>
      <c r="G299" s="2">
        <v>6.8654000000000002</v>
      </c>
    </row>
    <row r="300" spans="4:7" x14ac:dyDescent="0.2">
      <c r="D300" s="5">
        <v>44993</v>
      </c>
      <c r="E300" s="2">
        <v>4.6242999999999999</v>
      </c>
      <c r="F300" s="2">
        <v>5.8906999999999998</v>
      </c>
      <c r="G300" s="2">
        <v>6.8654000000000002</v>
      </c>
    </row>
    <row r="301" spans="4:7" x14ac:dyDescent="0.2">
      <c r="D301" s="5">
        <v>44994</v>
      </c>
      <c r="E301" s="2">
        <v>4.6242999999999999</v>
      </c>
      <c r="F301" s="2">
        <v>5.9071999999999996</v>
      </c>
      <c r="G301" s="2">
        <v>6.8654000000000002</v>
      </c>
    </row>
    <row r="302" spans="4:7" x14ac:dyDescent="0.2">
      <c r="D302" s="5">
        <v>44995</v>
      </c>
      <c r="E302" s="2">
        <v>4.8217999999999996</v>
      </c>
      <c r="F302" s="2">
        <v>5.9021999999999997</v>
      </c>
      <c r="G302" s="2">
        <v>7.0784000000000002</v>
      </c>
    </row>
    <row r="303" spans="4:7" x14ac:dyDescent="0.2">
      <c r="D303" s="5">
        <v>44998</v>
      </c>
      <c r="E303" s="2">
        <v>4.8217999999999996</v>
      </c>
      <c r="F303" s="2">
        <v>5.9021999999999997</v>
      </c>
      <c r="G303" s="2">
        <v>7.0784000000000002</v>
      </c>
    </row>
    <row r="304" spans="4:7" x14ac:dyDescent="0.2">
      <c r="D304" s="5">
        <v>44999</v>
      </c>
      <c r="E304" s="2">
        <v>4.8217999999999996</v>
      </c>
      <c r="F304" s="2">
        <v>5.9010999999999996</v>
      </c>
      <c r="G304" s="2">
        <v>7.0784000000000002</v>
      </c>
    </row>
    <row r="305" spans="4:7" x14ac:dyDescent="0.2">
      <c r="D305" s="5">
        <v>45000</v>
      </c>
      <c r="E305" s="2">
        <v>4.8217999999999996</v>
      </c>
      <c r="F305" s="2">
        <v>5.9127999999999998</v>
      </c>
      <c r="G305" s="2">
        <v>7.0784000000000002</v>
      </c>
    </row>
    <row r="306" spans="4:7" x14ac:dyDescent="0.2">
      <c r="D306" s="5">
        <v>45001</v>
      </c>
      <c r="E306" s="2">
        <v>4.8217999999999996</v>
      </c>
      <c r="F306" s="2">
        <v>5.9127999999999998</v>
      </c>
      <c r="G306" s="2">
        <v>7.0784000000000002</v>
      </c>
    </row>
    <row r="307" spans="4:7" x14ac:dyDescent="0.2">
      <c r="D307" s="5">
        <v>45002</v>
      </c>
      <c r="E307" s="2">
        <v>4.9462000000000002</v>
      </c>
      <c r="F307" s="2">
        <v>5.9759000000000002</v>
      </c>
      <c r="G307" s="2">
        <v>7.0784000000000002</v>
      </c>
    </row>
    <row r="308" spans="4:7" x14ac:dyDescent="0.2">
      <c r="D308" s="5">
        <v>45005</v>
      </c>
      <c r="E308" s="2">
        <v>4.7695999999999996</v>
      </c>
      <c r="F308" s="2">
        <v>5.9752999999999998</v>
      </c>
      <c r="G308" s="2">
        <v>7.0784000000000002</v>
      </c>
    </row>
    <row r="309" spans="4:7" x14ac:dyDescent="0.2">
      <c r="D309" s="5"/>
    </row>
    <row r="310" spans="4:7" x14ac:dyDescent="0.2">
      <c r="D310" s="5"/>
    </row>
    <row r="311" spans="4:7" x14ac:dyDescent="0.2">
      <c r="D311" s="5"/>
    </row>
    <row r="312" spans="4:7" x14ac:dyDescent="0.2">
      <c r="D312" s="5"/>
    </row>
    <row r="313" spans="4:7" x14ac:dyDescent="0.2">
      <c r="D313" s="5"/>
    </row>
    <row r="314" spans="4:7" x14ac:dyDescent="0.2">
      <c r="D314" s="5"/>
    </row>
    <row r="315" spans="4:7" x14ac:dyDescent="0.2">
      <c r="D315" s="5"/>
    </row>
    <row r="316" spans="4:7" x14ac:dyDescent="0.2">
      <c r="D316" s="5"/>
    </row>
    <row r="317" spans="4:7" x14ac:dyDescent="0.2">
      <c r="D317" s="5"/>
    </row>
    <row r="318" spans="4:7" x14ac:dyDescent="0.2">
      <c r="D318" s="5"/>
    </row>
    <row r="319" spans="4:7" x14ac:dyDescent="0.2">
      <c r="D319" s="5"/>
    </row>
    <row r="320" spans="4:7" x14ac:dyDescent="0.2">
      <c r="D320" s="5"/>
    </row>
    <row r="321" spans="4:4" x14ac:dyDescent="0.2">
      <c r="D321" s="5"/>
    </row>
    <row r="322" spans="4:4" x14ac:dyDescent="0.2">
      <c r="D322" s="5"/>
    </row>
    <row r="323" spans="4:4" x14ac:dyDescent="0.2">
      <c r="D323" s="5"/>
    </row>
    <row r="324" spans="4:4" x14ac:dyDescent="0.2">
      <c r="D324" s="5"/>
    </row>
    <row r="325" spans="4:4" x14ac:dyDescent="0.2">
      <c r="D325" s="5"/>
    </row>
    <row r="326" spans="4:4" x14ac:dyDescent="0.2">
      <c r="D326" s="5"/>
    </row>
    <row r="327" spans="4:4" x14ac:dyDescent="0.2">
      <c r="D327" s="5"/>
    </row>
    <row r="328" spans="4:4" x14ac:dyDescent="0.2">
      <c r="D328" s="5"/>
    </row>
    <row r="329" spans="4:4" x14ac:dyDescent="0.2">
      <c r="D329" s="5"/>
    </row>
    <row r="330" spans="4:4" x14ac:dyDescent="0.2">
      <c r="D330" s="5"/>
    </row>
    <row r="331" spans="4:4" x14ac:dyDescent="0.2">
      <c r="D331" s="5"/>
    </row>
    <row r="332" spans="4:4" x14ac:dyDescent="0.2">
      <c r="D332" s="5"/>
    </row>
    <row r="333" spans="4:4" x14ac:dyDescent="0.2">
      <c r="D333" s="5"/>
    </row>
    <row r="334" spans="4:4" x14ac:dyDescent="0.2">
      <c r="D334" s="5"/>
    </row>
    <row r="335" spans="4:4" x14ac:dyDescent="0.2">
      <c r="D335" s="5"/>
    </row>
    <row r="336" spans="4:4" x14ac:dyDescent="0.2">
      <c r="D336" s="5"/>
    </row>
    <row r="337" spans="4:4" x14ac:dyDescent="0.2">
      <c r="D337" s="5"/>
    </row>
    <row r="338" spans="4:4" x14ac:dyDescent="0.2">
      <c r="D338" s="5"/>
    </row>
    <row r="339" spans="4:4" x14ac:dyDescent="0.2">
      <c r="D339" s="5"/>
    </row>
    <row r="340" spans="4:4" x14ac:dyDescent="0.2">
      <c r="D340" s="5"/>
    </row>
    <row r="341" spans="4:4" x14ac:dyDescent="0.2">
      <c r="D341" s="5"/>
    </row>
    <row r="342" spans="4:4" x14ac:dyDescent="0.2">
      <c r="D342" s="5"/>
    </row>
    <row r="343" spans="4:4" x14ac:dyDescent="0.2">
      <c r="D343" s="5"/>
    </row>
    <row r="344" spans="4:4" x14ac:dyDescent="0.2">
      <c r="D344" s="5"/>
    </row>
    <row r="345" spans="4:4" x14ac:dyDescent="0.2">
      <c r="D345" s="5"/>
    </row>
    <row r="346" spans="4:4" x14ac:dyDescent="0.2">
      <c r="D346" s="5"/>
    </row>
    <row r="347" spans="4:4" x14ac:dyDescent="0.2">
      <c r="D347" s="5"/>
    </row>
    <row r="348" spans="4:4" x14ac:dyDescent="0.2">
      <c r="D348" s="5"/>
    </row>
    <row r="349" spans="4:4" x14ac:dyDescent="0.2">
      <c r="D349" s="5"/>
    </row>
    <row r="350" spans="4:4" x14ac:dyDescent="0.2">
      <c r="D350" s="5"/>
    </row>
    <row r="351" spans="4:4" x14ac:dyDescent="0.2">
      <c r="D351" s="5"/>
    </row>
    <row r="352" spans="4:4" x14ac:dyDescent="0.2">
      <c r="D352" s="5"/>
    </row>
    <row r="353" spans="4:4" x14ac:dyDescent="0.2">
      <c r="D353" s="5"/>
    </row>
    <row r="354" spans="4:4" x14ac:dyDescent="0.2">
      <c r="D354" s="5"/>
    </row>
    <row r="355" spans="4:4" x14ac:dyDescent="0.2">
      <c r="D355" s="5"/>
    </row>
    <row r="356" spans="4:4" x14ac:dyDescent="0.2">
      <c r="D356" s="5"/>
    </row>
    <row r="357" spans="4:4" x14ac:dyDescent="0.2">
      <c r="D357" s="5"/>
    </row>
    <row r="358" spans="4:4" x14ac:dyDescent="0.2">
      <c r="D358" s="5"/>
    </row>
    <row r="359" spans="4:4" x14ac:dyDescent="0.2">
      <c r="D359" s="5"/>
    </row>
    <row r="360" spans="4:4" x14ac:dyDescent="0.2">
      <c r="D360" s="5"/>
    </row>
    <row r="361" spans="4:4" x14ac:dyDescent="0.2">
      <c r="D361" s="5"/>
    </row>
    <row r="362" spans="4:4" x14ac:dyDescent="0.2">
      <c r="D362" s="5"/>
    </row>
    <row r="363" spans="4:4" x14ac:dyDescent="0.2">
      <c r="D363" s="5"/>
    </row>
    <row r="364" spans="4:4" x14ac:dyDescent="0.2">
      <c r="D364" s="5"/>
    </row>
    <row r="365" spans="4:4" x14ac:dyDescent="0.2">
      <c r="D365" s="5"/>
    </row>
    <row r="366" spans="4:4" x14ac:dyDescent="0.2">
      <c r="D366" s="5"/>
    </row>
    <row r="367" spans="4:4" x14ac:dyDescent="0.2">
      <c r="D367" s="5"/>
    </row>
    <row r="368" spans="4:4" x14ac:dyDescent="0.2">
      <c r="D368" s="5"/>
    </row>
    <row r="369" spans="4:4" x14ac:dyDescent="0.2">
      <c r="D369" s="5"/>
    </row>
    <row r="370" spans="4:4" x14ac:dyDescent="0.2">
      <c r="D370" s="5"/>
    </row>
    <row r="371" spans="4:4" x14ac:dyDescent="0.2">
      <c r="D371" s="5"/>
    </row>
    <row r="372" spans="4:4" x14ac:dyDescent="0.2">
      <c r="D372" s="5"/>
    </row>
    <row r="373" spans="4:4" x14ac:dyDescent="0.2">
      <c r="D373" s="5"/>
    </row>
    <row r="374" spans="4:4" x14ac:dyDescent="0.2">
      <c r="D374" s="5"/>
    </row>
    <row r="375" spans="4:4" x14ac:dyDescent="0.2">
      <c r="D375" s="5"/>
    </row>
    <row r="376" spans="4:4" x14ac:dyDescent="0.2">
      <c r="D376" s="5"/>
    </row>
    <row r="377" spans="4:4" x14ac:dyDescent="0.2">
      <c r="D377" s="5"/>
    </row>
    <row r="378" spans="4:4" x14ac:dyDescent="0.2">
      <c r="D378" s="5"/>
    </row>
    <row r="379" spans="4:4" x14ac:dyDescent="0.2">
      <c r="D379" s="5"/>
    </row>
    <row r="380" spans="4:4" x14ac:dyDescent="0.2">
      <c r="D380" s="5"/>
    </row>
    <row r="381" spans="4:4" x14ac:dyDescent="0.2">
      <c r="D381" s="5"/>
    </row>
    <row r="382" spans="4:4" x14ac:dyDescent="0.2">
      <c r="D382" s="5"/>
    </row>
    <row r="383" spans="4:4" x14ac:dyDescent="0.2">
      <c r="D383" s="5"/>
    </row>
    <row r="384" spans="4:4" x14ac:dyDescent="0.2">
      <c r="D384" s="5"/>
    </row>
    <row r="385" spans="4:4" x14ac:dyDescent="0.2">
      <c r="D385" s="5"/>
    </row>
    <row r="386" spans="4:4" x14ac:dyDescent="0.2">
      <c r="D386" s="5"/>
    </row>
    <row r="387" spans="4:4" x14ac:dyDescent="0.2">
      <c r="D387" s="5"/>
    </row>
    <row r="388" spans="4:4" x14ac:dyDescent="0.2">
      <c r="D388" s="5"/>
    </row>
    <row r="389" spans="4:4" x14ac:dyDescent="0.2">
      <c r="D389" s="5"/>
    </row>
    <row r="390" spans="4:4" x14ac:dyDescent="0.2">
      <c r="D390" s="5"/>
    </row>
    <row r="391" spans="4:4" x14ac:dyDescent="0.2">
      <c r="D391" s="5"/>
    </row>
    <row r="392" spans="4:4" x14ac:dyDescent="0.2">
      <c r="D392" s="5"/>
    </row>
    <row r="393" spans="4:4" x14ac:dyDescent="0.2">
      <c r="D393" s="5"/>
    </row>
    <row r="394" spans="4:4" x14ac:dyDescent="0.2">
      <c r="D394" s="5"/>
    </row>
    <row r="395" spans="4:4" x14ac:dyDescent="0.2">
      <c r="D395" s="5"/>
    </row>
    <row r="396" spans="4:4" x14ac:dyDescent="0.2">
      <c r="D396" s="5"/>
    </row>
    <row r="397" spans="4:4" x14ac:dyDescent="0.2">
      <c r="D397" s="5"/>
    </row>
    <row r="398" spans="4:4" x14ac:dyDescent="0.2">
      <c r="D398" s="5"/>
    </row>
    <row r="399" spans="4:4" x14ac:dyDescent="0.2">
      <c r="D399" s="5"/>
    </row>
    <row r="400" spans="4:4" x14ac:dyDescent="0.2">
      <c r="D400" s="5"/>
    </row>
    <row r="401" spans="4:4" x14ac:dyDescent="0.2">
      <c r="D401" s="5"/>
    </row>
    <row r="402" spans="4:4" x14ac:dyDescent="0.2">
      <c r="D402" s="5"/>
    </row>
    <row r="403" spans="4:4" x14ac:dyDescent="0.2">
      <c r="D403" s="5"/>
    </row>
    <row r="404" spans="4:4" x14ac:dyDescent="0.2">
      <c r="D404" s="5"/>
    </row>
    <row r="405" spans="4:4" x14ac:dyDescent="0.2">
      <c r="D405" s="5"/>
    </row>
    <row r="406" spans="4:4" x14ac:dyDescent="0.2">
      <c r="D406" s="5"/>
    </row>
    <row r="407" spans="4:4" x14ac:dyDescent="0.2">
      <c r="D407" s="5"/>
    </row>
    <row r="408" spans="4:4" x14ac:dyDescent="0.2">
      <c r="D408" s="5"/>
    </row>
    <row r="409" spans="4:4" x14ac:dyDescent="0.2">
      <c r="D409" s="5"/>
    </row>
    <row r="410" spans="4:4" x14ac:dyDescent="0.2">
      <c r="D410" s="5"/>
    </row>
    <row r="411" spans="4:4" x14ac:dyDescent="0.2">
      <c r="D411" s="5"/>
    </row>
    <row r="412" spans="4:4" x14ac:dyDescent="0.2">
      <c r="D412" s="5"/>
    </row>
    <row r="413" spans="4:4" x14ac:dyDescent="0.2">
      <c r="D413" s="5"/>
    </row>
    <row r="414" spans="4:4" x14ac:dyDescent="0.2">
      <c r="D414" s="5"/>
    </row>
    <row r="415" spans="4:4" x14ac:dyDescent="0.2">
      <c r="D415" s="5"/>
    </row>
    <row r="416" spans="4:4" x14ac:dyDescent="0.2">
      <c r="D416" s="5"/>
    </row>
    <row r="417" spans="4:4" x14ac:dyDescent="0.2">
      <c r="D417" s="5"/>
    </row>
    <row r="418" spans="4:4" x14ac:dyDescent="0.2">
      <c r="D418" s="5"/>
    </row>
    <row r="419" spans="4:4" x14ac:dyDescent="0.2">
      <c r="D419" s="5"/>
    </row>
    <row r="420" spans="4:4" x14ac:dyDescent="0.2">
      <c r="D420" s="5"/>
    </row>
    <row r="421" spans="4:4" x14ac:dyDescent="0.2">
      <c r="D421" s="5"/>
    </row>
    <row r="422" spans="4:4" x14ac:dyDescent="0.2">
      <c r="D422" s="5"/>
    </row>
    <row r="423" spans="4:4" x14ac:dyDescent="0.2">
      <c r="D423" s="5"/>
    </row>
    <row r="424" spans="4:4" x14ac:dyDescent="0.2">
      <c r="D424" s="5"/>
    </row>
    <row r="425" spans="4:4" x14ac:dyDescent="0.2">
      <c r="D425" s="5"/>
    </row>
    <row r="426" spans="4:4" x14ac:dyDescent="0.2">
      <c r="D426" s="5"/>
    </row>
    <row r="427" spans="4:4" x14ac:dyDescent="0.2">
      <c r="D427" s="5"/>
    </row>
    <row r="428" spans="4:4" x14ac:dyDescent="0.2">
      <c r="D428" s="5"/>
    </row>
    <row r="429" spans="4:4" x14ac:dyDescent="0.2">
      <c r="D429" s="5"/>
    </row>
    <row r="430" spans="4:4" x14ac:dyDescent="0.2">
      <c r="D430" s="5"/>
    </row>
    <row r="431" spans="4:4" x14ac:dyDescent="0.2">
      <c r="D431" s="5"/>
    </row>
    <row r="432" spans="4:4" x14ac:dyDescent="0.2">
      <c r="D432" s="5"/>
    </row>
    <row r="433" spans="4:4" x14ac:dyDescent="0.2">
      <c r="D433" s="5"/>
    </row>
    <row r="434" spans="4:4" x14ac:dyDescent="0.2">
      <c r="D434" s="5"/>
    </row>
    <row r="435" spans="4:4" x14ac:dyDescent="0.2">
      <c r="D435" s="5"/>
    </row>
    <row r="436" spans="4:4" x14ac:dyDescent="0.2">
      <c r="D436" s="5"/>
    </row>
    <row r="437" spans="4:4" x14ac:dyDescent="0.2">
      <c r="D437" s="5"/>
    </row>
    <row r="438" spans="4:4" x14ac:dyDescent="0.2">
      <c r="D438" s="5"/>
    </row>
    <row r="439" spans="4:4" x14ac:dyDescent="0.2">
      <c r="D439" s="5"/>
    </row>
    <row r="440" spans="4:4" x14ac:dyDescent="0.2">
      <c r="D440" s="5"/>
    </row>
    <row r="441" spans="4:4" x14ac:dyDescent="0.2">
      <c r="D441" s="5"/>
    </row>
    <row r="442" spans="4:4" x14ac:dyDescent="0.2">
      <c r="D442" s="5"/>
    </row>
    <row r="443" spans="4:4" x14ac:dyDescent="0.2">
      <c r="D443" s="5"/>
    </row>
    <row r="444" spans="4:4" x14ac:dyDescent="0.2">
      <c r="D444" s="5"/>
    </row>
    <row r="445" spans="4:4" x14ac:dyDescent="0.2">
      <c r="D445" s="5"/>
    </row>
    <row r="446" spans="4:4" x14ac:dyDescent="0.2">
      <c r="D446" s="5"/>
    </row>
    <row r="447" spans="4:4" x14ac:dyDescent="0.2">
      <c r="D447" s="5"/>
    </row>
    <row r="448" spans="4:4" x14ac:dyDescent="0.2">
      <c r="D448" s="5"/>
    </row>
    <row r="449" spans="4:4" x14ac:dyDescent="0.2">
      <c r="D449" s="5"/>
    </row>
    <row r="450" spans="4:4" x14ac:dyDescent="0.2">
      <c r="D450" s="5"/>
    </row>
    <row r="451" spans="4:4" x14ac:dyDescent="0.2">
      <c r="D451" s="5"/>
    </row>
    <row r="452" spans="4:4" x14ac:dyDescent="0.2">
      <c r="D452" s="5"/>
    </row>
    <row r="453" spans="4:4" x14ac:dyDescent="0.2">
      <c r="D453" s="5"/>
    </row>
    <row r="454" spans="4:4" x14ac:dyDescent="0.2">
      <c r="D454" s="5"/>
    </row>
    <row r="455" spans="4:4" x14ac:dyDescent="0.2">
      <c r="D455" s="5"/>
    </row>
    <row r="456" spans="4:4" x14ac:dyDescent="0.2">
      <c r="D456" s="5"/>
    </row>
    <row r="457" spans="4:4" x14ac:dyDescent="0.2">
      <c r="D457" s="5"/>
    </row>
    <row r="458" spans="4:4" x14ac:dyDescent="0.2">
      <c r="D458" s="5"/>
    </row>
    <row r="459" spans="4:4" x14ac:dyDescent="0.2">
      <c r="D459" s="5"/>
    </row>
    <row r="460" spans="4:4" x14ac:dyDescent="0.2">
      <c r="D460" s="5"/>
    </row>
    <row r="461" spans="4:4" x14ac:dyDescent="0.2">
      <c r="D461" s="5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6388C-3C95-4EF9-8D63-560D59D6AD6B}">
  <sheetPr codeName="Planilha20"/>
  <dimension ref="A1:I151"/>
  <sheetViews>
    <sheetView showGridLines="0" tabSelected="1" zoomScale="85" zoomScaleNormal="85" workbookViewId="0">
      <selection activeCell="Y121" sqref="Y121"/>
    </sheetView>
  </sheetViews>
  <sheetFormatPr defaultColWidth="9" defaultRowHeight="12.75" x14ac:dyDescent="0.2"/>
  <cols>
    <col min="1" max="1" width="32.7109375" style="2" customWidth="1"/>
    <col min="2" max="2" width="11.7109375" style="2" bestFit="1" customWidth="1"/>
    <col min="3" max="3" width="8.85546875" style="2" bestFit="1" customWidth="1"/>
    <col min="4" max="4" width="8.85546875" style="2" customWidth="1"/>
    <col min="5" max="5" width="10.28515625" style="2" bestFit="1" customWidth="1"/>
    <col min="6" max="9" width="9.140625" style="2" customWidth="1"/>
    <col min="10" max="16384" width="9" style="2"/>
  </cols>
  <sheetData>
    <row r="1" spans="1:9" ht="15.75" x14ac:dyDescent="0.25">
      <c r="A1" s="1" t="s">
        <v>13</v>
      </c>
    </row>
    <row r="2" spans="1:9" x14ac:dyDescent="0.2">
      <c r="F2" s="3" t="s">
        <v>14</v>
      </c>
      <c r="G2" s="3" t="s">
        <v>15</v>
      </c>
      <c r="H2" s="3" t="s">
        <v>16</v>
      </c>
      <c r="I2" s="3" t="s">
        <v>28</v>
      </c>
    </row>
    <row r="3" spans="1:9" x14ac:dyDescent="0.2">
      <c r="A3" s="3" t="s">
        <v>17</v>
      </c>
      <c r="B3" s="2" t="str">
        <f>"https://www3.bcb.gov.br/sgspub/consultarmetadados/consultarMetadadosSeries.do?method=consultarMetadadosSeriesInternet&amp;hdOidSerieSelecionada="&amp;B4</f>
        <v>https://www3.bcb.gov.br/sgspub/consultarmetadados/consultarMetadadosSeries.do?method=consultarMetadadosSeriesInternet&amp;hdOidSerieSelecionada=13522</v>
      </c>
      <c r="D3" s="2">
        <v>1998</v>
      </c>
      <c r="E3" s="5">
        <v>35796</v>
      </c>
      <c r="F3" s="7"/>
      <c r="G3" s="8"/>
    </row>
    <row r="4" spans="1:9" x14ac:dyDescent="0.2">
      <c r="A4" s="3" t="s">
        <v>2</v>
      </c>
      <c r="B4" s="4">
        <v>13522</v>
      </c>
      <c r="D4" s="2">
        <v>1999</v>
      </c>
      <c r="E4" s="5">
        <v>36161</v>
      </c>
      <c r="F4" s="7"/>
      <c r="G4" s="8"/>
    </row>
    <row r="5" spans="1:9" x14ac:dyDescent="0.2">
      <c r="A5" s="3" t="s">
        <v>10</v>
      </c>
      <c r="B5" s="6">
        <v>37257</v>
      </c>
      <c r="D5" s="2">
        <v>2000</v>
      </c>
      <c r="E5" s="5">
        <v>36526</v>
      </c>
      <c r="F5" s="9" cm="1">
        <f t="array" ref="F5">xlFOCUS_ExpectativasAnuais("IPCA",,$E5,WORKDAY($E5,1,Holidays),WORKDAY($E5,1,Holidays),0,"Mediana")</f>
        <v>7</v>
      </c>
      <c r="G5" s="2" cm="1">
        <f t="array" ref="G5">xlFOCUS_SGS($B$4,EDATE($E5,11),EDATE($E5,11),$B$7)</f>
        <v>5.97</v>
      </c>
      <c r="H5" s="10">
        <f t="shared" ref="H5:H27" si="0">G5-F5</f>
        <v>-1.0300000000000002</v>
      </c>
      <c r="I5" s="10">
        <f>AVERAGE($H$5:$H$27)</f>
        <v>1.0456695652173913</v>
      </c>
    </row>
    <row r="6" spans="1:9" x14ac:dyDescent="0.2">
      <c r="A6" s="3" t="s">
        <v>11</v>
      </c>
      <c r="B6" s="6">
        <v>44927</v>
      </c>
      <c r="D6" s="2">
        <v>2001</v>
      </c>
      <c r="E6" s="5">
        <v>36892</v>
      </c>
      <c r="F6" s="9" cm="1">
        <f t="array" ref="F6">xlFOCUS_ExpectativasAnuais("IPCA",,$E6,WORKDAY($E6,1,Holidays),WORKDAY($E6,1,Holidays),0,"Mediana")</f>
        <v>4.3</v>
      </c>
      <c r="G6" s="2" cm="1">
        <f t="array" ref="G6">xlFOCUS_SGS($B$4,EDATE($E6,11),EDATE($E6,11),$B$7)</f>
        <v>7.67</v>
      </c>
      <c r="H6" s="10">
        <f t="shared" si="0"/>
        <v>3.37</v>
      </c>
      <c r="I6" s="10">
        <f t="shared" ref="I6:I28" si="1">AVERAGE($H$5:$H$27)</f>
        <v>1.0456695652173913</v>
      </c>
    </row>
    <row r="7" spans="1:9" x14ac:dyDescent="0.2">
      <c r="A7" s="3" t="s">
        <v>18</v>
      </c>
      <c r="B7" s="4"/>
      <c r="D7" s="2">
        <v>2002</v>
      </c>
      <c r="E7" s="5">
        <v>37257</v>
      </c>
      <c r="F7" s="9" cm="1">
        <f t="array" ref="F7">xlFOCUS_ExpectativasAnuais("IPCA",,$E7,WORKDAY($E7,1,Holidays),WORKDAY($E7,1,Holidays),0,"Mediana")</f>
        <v>4.75</v>
      </c>
      <c r="G7" s="2" cm="1">
        <f t="array" ref="G7">xlFOCUS_SGS($B$4,EDATE($E7,11),EDATE($E7,11),$B$7)</f>
        <v>12.53</v>
      </c>
      <c r="H7" s="10">
        <f t="shared" si="0"/>
        <v>7.7799999999999994</v>
      </c>
      <c r="I7" s="10">
        <f t="shared" si="1"/>
        <v>1.0456695652173913</v>
      </c>
    </row>
    <row r="8" spans="1:9" x14ac:dyDescent="0.2">
      <c r="A8" s="3" t="s">
        <v>19</v>
      </c>
      <c r="B8" s="11"/>
      <c r="D8" s="2">
        <v>2003</v>
      </c>
      <c r="E8" s="5">
        <v>37622</v>
      </c>
      <c r="F8" s="9" cm="1">
        <f t="array" ref="F8">xlFOCUS_ExpectativasAnuais("IPCA",,$E8,WORKDAY($E8,1,Holidays),WORKDAY($E8,1,Holidays),0,"Mediana")</f>
        <v>11</v>
      </c>
      <c r="G8" s="2" cm="1">
        <f t="array" ref="G8">xlFOCUS_SGS($B$4,EDATE($E8,11),EDATE($E8,11),$B$7)</f>
        <v>9.3000000000000007</v>
      </c>
      <c r="H8" s="10">
        <f t="shared" si="0"/>
        <v>-1.6999999999999993</v>
      </c>
      <c r="I8" s="10">
        <f t="shared" si="1"/>
        <v>1.0456695652173913</v>
      </c>
    </row>
    <row r="9" spans="1:9" x14ac:dyDescent="0.2">
      <c r="D9" s="2">
        <v>2004</v>
      </c>
      <c r="E9" s="5">
        <v>37987</v>
      </c>
      <c r="F9" s="9" cm="1">
        <f t="array" ref="F9">xlFOCUS_ExpectativasAnuais("IPCA",,$E9,WORKDAY($E9,1,Holidays),WORKDAY($E9,1,Holidays),0,"Mediana")</f>
        <v>6</v>
      </c>
      <c r="G9" s="2" cm="1">
        <f t="array" ref="G9">xlFOCUS_SGS($B$4,EDATE($E9,11),EDATE($E9,11),$B$7)</f>
        <v>7.6</v>
      </c>
      <c r="H9" s="10">
        <f t="shared" si="0"/>
        <v>1.5999999999999996</v>
      </c>
      <c r="I9" s="10">
        <f t="shared" si="1"/>
        <v>1.0456695652173913</v>
      </c>
    </row>
    <row r="10" spans="1:9" x14ac:dyDescent="0.2">
      <c r="D10" s="2">
        <v>2005</v>
      </c>
      <c r="E10" s="5">
        <v>38353</v>
      </c>
      <c r="F10" s="9" cm="1">
        <f t="array" ref="F10">xlFOCUS_ExpectativasAnuais("IPCA",,$E10,WORKDAY($E10,1,Holidays),WORKDAY($E10,1,Holidays),0,"Mediana")</f>
        <v>5.7</v>
      </c>
      <c r="G10" s="2" cm="1">
        <f t="array" ref="G10">xlFOCUS_SGS($B$4,EDATE($E10,11),EDATE($E10,11),$B$7)</f>
        <v>5.69</v>
      </c>
      <c r="H10" s="10">
        <f t="shared" si="0"/>
        <v>-9.9999999999997868E-3</v>
      </c>
      <c r="I10" s="10">
        <f t="shared" si="1"/>
        <v>1.0456695652173913</v>
      </c>
    </row>
    <row r="11" spans="1:9" x14ac:dyDescent="0.2">
      <c r="D11" s="2">
        <v>2006</v>
      </c>
      <c r="E11" s="5">
        <v>38718</v>
      </c>
      <c r="F11" s="9" cm="1">
        <f t="array" ref="F11">xlFOCUS_ExpectativasAnuais("IPCA",,$E11,WORKDAY($E11,1,Holidays),WORKDAY($E11,1,Holidays),0,"Mediana")</f>
        <v>4.5</v>
      </c>
      <c r="G11" s="2" cm="1">
        <f t="array" ref="G11">xlFOCUS_SGS($B$4,EDATE($E11,11),EDATE($E11,11),$B$7)</f>
        <v>3.14</v>
      </c>
      <c r="H11" s="10">
        <f t="shared" si="0"/>
        <v>-1.3599999999999999</v>
      </c>
      <c r="I11" s="10">
        <f t="shared" si="1"/>
        <v>1.0456695652173913</v>
      </c>
    </row>
    <row r="12" spans="1:9" x14ac:dyDescent="0.2">
      <c r="D12" s="2">
        <v>2007</v>
      </c>
      <c r="E12" s="5">
        <v>39083</v>
      </c>
      <c r="F12" s="9" cm="1">
        <f t="array" ref="F12">xlFOCUS_ExpectativasAnuais("IPCA",,$E12,WORKDAY($E12,1,Holidays),WORKDAY($E12,1,Holidays),0,"Mediana")</f>
        <v>4</v>
      </c>
      <c r="G12" s="2" cm="1">
        <f t="array" ref="G12">xlFOCUS_SGS($B$4,EDATE($E12,11),EDATE($E12,11),$B$7)</f>
        <v>4.46</v>
      </c>
      <c r="H12" s="10">
        <f t="shared" si="0"/>
        <v>0.45999999999999996</v>
      </c>
      <c r="I12" s="10">
        <f t="shared" si="1"/>
        <v>1.0456695652173913</v>
      </c>
    </row>
    <row r="13" spans="1:9" x14ac:dyDescent="0.2">
      <c r="D13" s="2">
        <v>2008</v>
      </c>
      <c r="E13" s="5">
        <v>39448</v>
      </c>
      <c r="F13" s="9" cm="1">
        <f t="array" ref="F13">xlFOCUS_ExpectativasAnuais("IPCA",,$E13,WORKDAY($E13,1,Holidays),WORKDAY($E13,1,Holidays),0,"Mediana")</f>
        <v>4.3</v>
      </c>
      <c r="G13" s="2" cm="1">
        <f t="array" ref="G13">xlFOCUS_SGS($B$4,EDATE($E13,11),EDATE($E13,11),$B$7)</f>
        <v>5.9</v>
      </c>
      <c r="H13" s="10">
        <f t="shared" si="0"/>
        <v>1.6000000000000005</v>
      </c>
      <c r="I13" s="10">
        <f t="shared" si="1"/>
        <v>1.0456695652173913</v>
      </c>
    </row>
    <row r="14" spans="1:9" x14ac:dyDescent="0.2">
      <c r="D14" s="2">
        <v>2009</v>
      </c>
      <c r="E14" s="5">
        <v>39814</v>
      </c>
      <c r="F14" s="9" cm="1">
        <f t="array" ref="F14">xlFOCUS_ExpectativasAnuais("IPCA",,$E14,WORKDAY($E14,1,Holidays),WORKDAY($E14,1,Holidays),0,"Mediana")</f>
        <v>5</v>
      </c>
      <c r="G14" s="2" cm="1">
        <f t="array" ref="G14">xlFOCUS_SGS($B$4,EDATE($E14,11),EDATE($E14,11),$B$7)</f>
        <v>4.3099999999999996</v>
      </c>
      <c r="H14" s="10">
        <f t="shared" si="0"/>
        <v>-0.69000000000000039</v>
      </c>
      <c r="I14" s="10">
        <f t="shared" si="1"/>
        <v>1.0456695652173913</v>
      </c>
    </row>
    <row r="15" spans="1:9" x14ac:dyDescent="0.2">
      <c r="D15" s="2">
        <v>2010</v>
      </c>
      <c r="E15" s="5">
        <v>40179</v>
      </c>
      <c r="F15" s="9" cm="1">
        <f t="array" ref="F15">xlFOCUS_ExpectativasAnuais("IPCA",,$E15,WORKDAY($E15,1,Holidays),WORKDAY($E15,1,Holidays),0,"Mediana")</f>
        <v>4.5</v>
      </c>
      <c r="G15" s="2" cm="1">
        <f t="array" ref="G15">xlFOCUS_SGS($B$4,EDATE($E15,11),EDATE($E15,11),$B$7)</f>
        <v>5.91</v>
      </c>
      <c r="H15" s="10">
        <f t="shared" si="0"/>
        <v>1.4100000000000001</v>
      </c>
      <c r="I15" s="10">
        <f t="shared" si="1"/>
        <v>1.0456695652173913</v>
      </c>
    </row>
    <row r="16" spans="1:9" x14ac:dyDescent="0.2">
      <c r="D16" s="2">
        <v>2011</v>
      </c>
      <c r="E16" s="5">
        <v>40544</v>
      </c>
      <c r="F16" s="9" cm="1">
        <f t="array" ref="F16">xlFOCUS_ExpectativasAnuais("IPCA",,$E16,WORKDAY($E16,1,Holidays),WORKDAY($E16,1,Holidays),0,"Mediana")</f>
        <v>5.33</v>
      </c>
      <c r="G16" s="2" cm="1">
        <f t="array" ref="G16">xlFOCUS_SGS($B$4,EDATE($E16,11),EDATE($E16,11),$B$7)</f>
        <v>6.5</v>
      </c>
      <c r="H16" s="10">
        <f t="shared" si="0"/>
        <v>1.17</v>
      </c>
      <c r="I16" s="10">
        <f t="shared" si="1"/>
        <v>1.0456695652173913</v>
      </c>
    </row>
    <row r="17" spans="4:9" x14ac:dyDescent="0.2">
      <c r="D17" s="2">
        <v>2012</v>
      </c>
      <c r="E17" s="5">
        <v>40909</v>
      </c>
      <c r="F17" s="9" cm="1">
        <f t="array" ref="F17">xlFOCUS_ExpectativasAnuais("IPCA",,$E17,WORKDAY($E17,1,Holidays),WORKDAY($E17,1,Holidays),0,"Mediana")</f>
        <v>5.34</v>
      </c>
      <c r="G17" s="2" cm="1">
        <f t="array" ref="G17">xlFOCUS_SGS($B$4,EDATE($E17,11),EDATE($E17,11),$B$7)</f>
        <v>5.84</v>
      </c>
      <c r="H17" s="10">
        <f t="shared" si="0"/>
        <v>0.5</v>
      </c>
      <c r="I17" s="10">
        <f t="shared" si="1"/>
        <v>1.0456695652173913</v>
      </c>
    </row>
    <row r="18" spans="4:9" x14ac:dyDescent="0.2">
      <c r="D18" s="2">
        <v>2013</v>
      </c>
      <c r="E18" s="5">
        <v>41275</v>
      </c>
      <c r="F18" s="9" cm="1">
        <f t="array" ref="F18">xlFOCUS_ExpectativasAnuais("IPCA",,$E18,WORKDAY($E18,1,Holidays),WORKDAY($E18,1,Holidays),0,"Mediana")</f>
        <v>5.49</v>
      </c>
      <c r="G18" s="2" cm="1">
        <f t="array" ref="G18">xlFOCUS_SGS($B$4,EDATE($E18,11),EDATE($E18,11),$B$7)</f>
        <v>5.91</v>
      </c>
      <c r="H18" s="10">
        <f t="shared" si="0"/>
        <v>0.41999999999999993</v>
      </c>
      <c r="I18" s="10">
        <f t="shared" si="1"/>
        <v>1.0456695652173913</v>
      </c>
    </row>
    <row r="19" spans="4:9" x14ac:dyDescent="0.2">
      <c r="D19" s="2">
        <v>2014</v>
      </c>
      <c r="E19" s="5">
        <v>41640</v>
      </c>
      <c r="F19" s="9" cm="1">
        <f t="array" ref="F19">xlFOCUS_ExpectativasAnuais("IPCA",,$E19,WORKDAY($E19,1,Holidays),WORKDAY($E19,1,Holidays),0,"Mediana")</f>
        <v>5.96</v>
      </c>
      <c r="G19" s="2" cm="1">
        <f t="array" ref="G19">xlFOCUS_SGS($B$4,EDATE($E19,11),EDATE($E19,11),$B$7)</f>
        <v>6.41</v>
      </c>
      <c r="H19" s="10">
        <f t="shared" si="0"/>
        <v>0.45000000000000018</v>
      </c>
      <c r="I19" s="10">
        <f t="shared" si="1"/>
        <v>1.0456695652173913</v>
      </c>
    </row>
    <row r="20" spans="4:9" x14ac:dyDescent="0.2">
      <c r="D20" s="2">
        <v>2015</v>
      </c>
      <c r="E20" s="5">
        <v>42005</v>
      </c>
      <c r="F20" s="9" cm="1">
        <f t="array" ref="F20">xlFOCUS_ExpectativasAnuais("IPCA",,$E20,WORKDAY($E20,1,Holidays),WORKDAY($E20,1,Holidays),0,"Mediana")</f>
        <v>6.56</v>
      </c>
      <c r="G20" s="2" cm="1">
        <f t="array" ref="G20">xlFOCUS_SGS($B$4,EDATE($E20,11),EDATE($E20,11),$B$7)</f>
        <v>10.67</v>
      </c>
      <c r="H20" s="10">
        <f t="shared" si="0"/>
        <v>4.1100000000000003</v>
      </c>
      <c r="I20" s="10">
        <f t="shared" si="1"/>
        <v>1.0456695652173913</v>
      </c>
    </row>
    <row r="21" spans="4:9" x14ac:dyDescent="0.2">
      <c r="D21" s="2">
        <v>2016</v>
      </c>
      <c r="E21" s="5">
        <v>42370</v>
      </c>
      <c r="F21" s="9" cm="1">
        <f t="array" ref="F21">xlFOCUS_ExpectativasAnuais("IPCA",,$E21,WORKDAY($E21,1,Holidays),WORKDAY($E21,1,Holidays),0,"Mediana")</f>
        <v>6.92</v>
      </c>
      <c r="G21" s="2" cm="1">
        <f t="array" ref="G21">xlFOCUS_SGS($B$4,EDATE($E21,11),EDATE($E21,11),$B$7)</f>
        <v>6.29</v>
      </c>
      <c r="H21" s="10">
        <f t="shared" si="0"/>
        <v>-0.62999999999999989</v>
      </c>
      <c r="I21" s="10">
        <f t="shared" si="1"/>
        <v>1.0456695652173913</v>
      </c>
    </row>
    <row r="22" spans="4:9" x14ac:dyDescent="0.2">
      <c r="D22" s="2">
        <v>2017</v>
      </c>
      <c r="E22" s="5">
        <v>42736</v>
      </c>
      <c r="F22" s="9" cm="1">
        <f t="array" ref="F22">xlFOCUS_ExpectativasAnuais("IPCA",,$E22,WORKDAY($E22,1,Holidays),WORKDAY($E22,1,Holidays),0,"Mediana")</f>
        <v>4.8600000000000003</v>
      </c>
      <c r="G22" s="2" cm="1">
        <f t="array" ref="G22">xlFOCUS_SGS($B$4,EDATE($E22,11),EDATE($E22,11),$B$7)</f>
        <v>2.95</v>
      </c>
      <c r="H22" s="10">
        <f t="shared" si="0"/>
        <v>-1.9100000000000001</v>
      </c>
      <c r="I22" s="10">
        <f t="shared" si="1"/>
        <v>1.0456695652173913</v>
      </c>
    </row>
    <row r="23" spans="4:9" x14ac:dyDescent="0.2">
      <c r="D23" s="2">
        <v>2018</v>
      </c>
      <c r="E23" s="5">
        <v>43101</v>
      </c>
      <c r="F23" s="9" cm="1">
        <f t="array" ref="F23">xlFOCUS_ExpectativasAnuais("IPCA",,$E23,WORKDAY($E23,1,Holidays),WORKDAY($E23,1,Holidays),0,"Mediana")</f>
        <v>3.96</v>
      </c>
      <c r="G23" s="2" cm="1">
        <f t="array" ref="G23">xlFOCUS_SGS($B$4,EDATE($E23,11),EDATE($E23,11),$B$7)</f>
        <v>3.75</v>
      </c>
      <c r="H23" s="10">
        <f t="shared" si="0"/>
        <v>-0.20999999999999996</v>
      </c>
      <c r="I23" s="10">
        <f t="shared" si="1"/>
        <v>1.0456695652173913</v>
      </c>
    </row>
    <row r="24" spans="4:9" x14ac:dyDescent="0.2">
      <c r="D24" s="2">
        <v>2019</v>
      </c>
      <c r="E24" s="5">
        <v>43466</v>
      </c>
      <c r="F24" s="9" cm="1">
        <f t="array" ref="F24">xlFOCUS_ExpectativasAnuais("IPCA",,$E24,WORKDAY($E24,1,Holidays),WORKDAY($E24,1,Holidays),0,"Mediana")</f>
        <v>4.01</v>
      </c>
      <c r="G24" s="2" cm="1">
        <f t="array" ref="G24">xlFOCUS_SGS($B$4,EDATE($E24,11),EDATE($E24,11),$B$7)</f>
        <v>4.3099999999999996</v>
      </c>
      <c r="H24" s="10">
        <f t="shared" si="0"/>
        <v>0.29999999999999982</v>
      </c>
      <c r="I24" s="10">
        <f t="shared" si="1"/>
        <v>1.0456695652173913</v>
      </c>
    </row>
    <row r="25" spans="4:9" x14ac:dyDescent="0.2">
      <c r="D25" s="2">
        <v>2020</v>
      </c>
      <c r="E25" s="5">
        <v>43831</v>
      </c>
      <c r="F25" s="9" cm="1">
        <f t="array" ref="F25">xlFOCUS_ExpectativasAnuais("IPCA",,$E25,WORKDAY($E25,1,Holidays),WORKDAY($E25,1,Holidays),0,"Mediana")</f>
        <v>3.6</v>
      </c>
      <c r="G25" s="2" cm="1">
        <f t="array" ref="G25">xlFOCUS_SGS($B$4,EDATE($E25,11),EDATE($E25,11),$B$7)</f>
        <v>4.5199999999999996</v>
      </c>
      <c r="H25" s="10">
        <f t="shared" si="0"/>
        <v>0.91999999999999948</v>
      </c>
      <c r="I25" s="10">
        <f t="shared" si="1"/>
        <v>1.0456695652173913</v>
      </c>
    </row>
    <row r="26" spans="4:9" x14ac:dyDescent="0.2">
      <c r="D26" s="2">
        <v>2021</v>
      </c>
      <c r="E26" s="5">
        <v>44197</v>
      </c>
      <c r="F26" s="9" cm="1">
        <f t="array" ref="F26">xlFOCUS_ExpectativasAnuais("IPCA",,$E26,WORKDAY($E26,1,Holidays),WORKDAY($E26,1,Holidays),0,"Mediana")</f>
        <v>3.32</v>
      </c>
      <c r="G26" s="2" cm="1">
        <f t="array" ref="G26">xlFOCUS_SGS($B$4,EDATE($E26,11),EDATE($E26,11),$B$7)</f>
        <v>10.06</v>
      </c>
      <c r="H26" s="10">
        <f t="shared" si="0"/>
        <v>6.74</v>
      </c>
      <c r="I26" s="10">
        <f t="shared" si="1"/>
        <v>1.0456695652173913</v>
      </c>
    </row>
    <row r="27" spans="4:9" x14ac:dyDescent="0.2">
      <c r="D27" s="2">
        <v>2022</v>
      </c>
      <c r="E27" s="5">
        <v>44562</v>
      </c>
      <c r="F27" s="9" cm="1">
        <f t="array" ref="F27">xlFOCUS_ExpectativasAnuais("IPCA",,$E27,WORKDAY($E27,1,Holidays),WORKDAY($E27,1,Holidays),0,"Mediana")</f>
        <v>5.0296000000000003</v>
      </c>
      <c r="G27" s="2" cm="1">
        <f t="array" ref="G27">xlFOCUS_SGS($B$4,EDATE($E27,11),EDATE($E27,11),$B$7)</f>
        <v>5.79</v>
      </c>
      <c r="H27" s="10">
        <f t="shared" si="0"/>
        <v>0.76039999999999974</v>
      </c>
      <c r="I27" s="10">
        <f t="shared" si="1"/>
        <v>1.0456695652173913</v>
      </c>
    </row>
    <row r="28" spans="4:9" x14ac:dyDescent="0.2">
      <c r="D28" s="2">
        <v>2023</v>
      </c>
      <c r="E28" s="5">
        <v>44927</v>
      </c>
      <c r="F28" s="7" cm="1">
        <f t="array" ref="F28">xlFOCUS_ExpectativasAnuais("IPCA",,$E28,WORKDAY($E28,1,Holidays),WORKDAY($E28,1,Holidays),0,"Mediana")</f>
        <v>5.3005000000000004</v>
      </c>
      <c r="G28" s="7" cm="1">
        <f t="array" ref="G28">_xlfn.TAKE(xlFOCUS_ExpectativasAnuais("IPCA",,$E28,WORKDAY($E28,1,Holidays),DATE(YEAR($E28),12,31),0,"Mediana"),-1)</f>
        <v>4.6318000000000001</v>
      </c>
      <c r="H28" s="10">
        <f t="shared" ref="H28" si="2">G28-F28</f>
        <v>-0.66870000000000029</v>
      </c>
      <c r="I28" s="10">
        <f t="shared" si="1"/>
        <v>1.0456695652173913</v>
      </c>
    </row>
    <row r="32" spans="4:9" x14ac:dyDescent="0.2">
      <c r="F32" s="3" t="s">
        <v>20</v>
      </c>
      <c r="G32" s="3" t="s">
        <v>21</v>
      </c>
      <c r="H32" s="3" t="s">
        <v>16</v>
      </c>
      <c r="I32" s="3"/>
    </row>
    <row r="33" spans="1:9" x14ac:dyDescent="0.2">
      <c r="A33" s="3" t="s">
        <v>17</v>
      </c>
      <c r="B33" s="2" t="str">
        <f>"https://www3.bcb.gov.br/sgspub/consultarmetadados/consultarMetadadosSeries.do?method=consultarMetadadosSeriesInternet&amp;hdOidSerieSelecionada="&amp;B34</f>
        <v>https://www3.bcb.gov.br/sgspub/consultarmetadados/consultarMetadadosSeries.do?method=consultarMetadadosSeriesInternet&amp;hdOidSerieSelecionada=7326</v>
      </c>
      <c r="D33" s="2">
        <v>1998</v>
      </c>
      <c r="E33" s="5">
        <v>35796</v>
      </c>
      <c r="F33" s="7"/>
      <c r="G33" s="8"/>
    </row>
    <row r="34" spans="1:9" x14ac:dyDescent="0.2">
      <c r="A34" s="3" t="s">
        <v>2</v>
      </c>
      <c r="B34" s="4">
        <v>7326</v>
      </c>
      <c r="D34" s="2">
        <v>1999</v>
      </c>
      <c r="E34" s="5">
        <v>36161</v>
      </c>
      <c r="F34" s="7"/>
      <c r="G34" s="8"/>
    </row>
    <row r="35" spans="1:9" x14ac:dyDescent="0.2">
      <c r="A35" s="3" t="s">
        <v>10</v>
      </c>
      <c r="B35" s="6">
        <v>37257</v>
      </c>
      <c r="D35" s="2">
        <v>2000</v>
      </c>
      <c r="E35" s="5">
        <v>36526</v>
      </c>
      <c r="F35" s="9" cm="1">
        <f t="array" ref="F35">xlFOCUS_ExpectativasAnuais("PIB Total",,$E35,WORKDAY($E35,1,Holidays),WORKDAY($E35,1,Holidays),0,"Mediana")</f>
        <v>3</v>
      </c>
      <c r="G35" s="2" cm="1">
        <f t="array" ref="G35">xlFOCUS_SGS($B$34,$E35,$E35,$B$37)</f>
        <v>4.3899999999999997</v>
      </c>
      <c r="H35" s="10">
        <f t="shared" ref="H35:H57" si="3">G35-F35</f>
        <v>1.3899999999999997</v>
      </c>
      <c r="I35" s="10"/>
    </row>
    <row r="36" spans="1:9" x14ac:dyDescent="0.2">
      <c r="A36" s="3" t="s">
        <v>11</v>
      </c>
      <c r="B36" s="6">
        <v>44927</v>
      </c>
      <c r="D36" s="2">
        <v>2001</v>
      </c>
      <c r="E36" s="5">
        <v>36892</v>
      </c>
      <c r="F36" s="9" cm="1">
        <f t="array" ref="F36">xlFOCUS_ExpectativasAnuais("PIB Total",,$E36,WORKDAY($E36,1,Holidays),WORKDAY($E36,1,Holidays),0,"Mediana")</f>
        <v>4</v>
      </c>
      <c r="G36" s="2" cm="1">
        <f t="array" ref="G36">xlFOCUS_SGS($B$34,$E36,$E36,$B$37)</f>
        <v>1.39</v>
      </c>
      <c r="H36" s="10">
        <f t="shared" si="3"/>
        <v>-2.6100000000000003</v>
      </c>
      <c r="I36" s="10"/>
    </row>
    <row r="37" spans="1:9" x14ac:dyDescent="0.2">
      <c r="A37" s="3" t="s">
        <v>18</v>
      </c>
      <c r="B37" s="4"/>
      <c r="D37" s="2">
        <v>2002</v>
      </c>
      <c r="E37" s="5">
        <v>37257</v>
      </c>
      <c r="F37" s="9" cm="1">
        <f t="array" ref="F37">xlFOCUS_ExpectativasAnuais("PIB Total",,$E37,WORKDAY($E37,1,Holidays),WORKDAY($E37,1,Holidays),0,"Mediana")</f>
        <v>2.4</v>
      </c>
      <c r="G37" s="2" cm="1">
        <f t="array" ref="G37">xlFOCUS_SGS($B$34,$E37,$E37,$B$37)</f>
        <v>3.05</v>
      </c>
      <c r="H37" s="10">
        <f t="shared" si="3"/>
        <v>0.64999999999999991</v>
      </c>
      <c r="I37" s="10">
        <f>AVERAGE(H35:H37)</f>
        <v>-0.19000000000000025</v>
      </c>
    </row>
    <row r="38" spans="1:9" x14ac:dyDescent="0.2">
      <c r="A38" s="3" t="s">
        <v>19</v>
      </c>
      <c r="B38" s="11"/>
      <c r="D38" s="2">
        <v>2003</v>
      </c>
      <c r="E38" s="5">
        <v>37622</v>
      </c>
      <c r="F38" s="9" cm="1">
        <f t="array" ref="F38">xlFOCUS_ExpectativasAnuais("PIB Total",,$E38,WORKDAY($E38,1,Holidays),WORKDAY($E38,1,Holidays),0,"Mediana")</f>
        <v>1.95</v>
      </c>
      <c r="G38" s="2" cm="1">
        <f t="array" ref="G38">xlFOCUS_SGS($B$34,$E38,$E38,$B$37)</f>
        <v>1.1399999999999999</v>
      </c>
      <c r="H38" s="10">
        <f t="shared" si="3"/>
        <v>-0.81</v>
      </c>
      <c r="I38" s="10"/>
    </row>
    <row r="39" spans="1:9" x14ac:dyDescent="0.2">
      <c r="D39" s="2">
        <v>2004</v>
      </c>
      <c r="E39" s="5">
        <v>37987</v>
      </c>
      <c r="F39" s="9" cm="1">
        <f t="array" ref="F39">xlFOCUS_ExpectativasAnuais("PIB Total",,$E39,WORKDAY($E39,1,Holidays),WORKDAY($E39,1,Holidays),0,"Mediana")</f>
        <v>3.55</v>
      </c>
      <c r="G39" s="2" cm="1">
        <f t="array" ref="G39">xlFOCUS_SGS($B$34,$E39,$E39,$B$37)</f>
        <v>5.76</v>
      </c>
      <c r="H39" s="10">
        <f t="shared" si="3"/>
        <v>2.21</v>
      </c>
      <c r="I39" s="10"/>
    </row>
    <row r="40" spans="1:9" x14ac:dyDescent="0.2">
      <c r="D40" s="2">
        <v>2005</v>
      </c>
      <c r="E40" s="5">
        <v>38353</v>
      </c>
      <c r="F40" s="9" cm="1">
        <f t="array" ref="F40">xlFOCUS_ExpectativasAnuais("PIB Total",,$E40,WORKDAY($E40,1,Holidays),WORKDAY($E40,1,Holidays),0,"Mediana")</f>
        <v>3.6</v>
      </c>
      <c r="G40" s="2" cm="1">
        <f t="array" ref="G40">xlFOCUS_SGS($B$34,$E40,$E40,$B$37)</f>
        <v>3.2</v>
      </c>
      <c r="H40" s="10">
        <f t="shared" si="3"/>
        <v>-0.39999999999999991</v>
      </c>
      <c r="I40" s="10"/>
    </row>
    <row r="41" spans="1:9" x14ac:dyDescent="0.2">
      <c r="D41" s="2">
        <v>2006</v>
      </c>
      <c r="E41" s="5">
        <v>38718</v>
      </c>
      <c r="F41" s="9" cm="1">
        <f t="array" ref="F41">xlFOCUS_ExpectativasAnuais("PIB Total",,$E41,WORKDAY($E41,1,Holidays),WORKDAY($E41,1,Holidays),0,"Mediana")</f>
        <v>3.5</v>
      </c>
      <c r="G41" s="2" cm="1">
        <f t="array" ref="G41">xlFOCUS_SGS($B$34,$E41,$E41,$B$37)</f>
        <v>3.96</v>
      </c>
      <c r="H41" s="10">
        <f t="shared" si="3"/>
        <v>0.45999999999999996</v>
      </c>
      <c r="I41" s="10">
        <f>AVERAGE(H38:H41)</f>
        <v>0.36499999999999999</v>
      </c>
    </row>
    <row r="42" spans="1:9" x14ac:dyDescent="0.2">
      <c r="D42" s="2">
        <v>2007</v>
      </c>
      <c r="E42" s="5">
        <v>39083</v>
      </c>
      <c r="F42" s="9" cm="1">
        <f t="array" ref="F42">xlFOCUS_ExpectativasAnuais("PIB Total",,$E42,WORKDAY($E42,1,Holidays),WORKDAY($E42,1,Holidays),0,"Mediana")</f>
        <v>3.5</v>
      </c>
      <c r="G42" s="2" cm="1">
        <f t="array" ref="G42">xlFOCUS_SGS($B$34,$E42,$E42,$B$37)</f>
        <v>6.07</v>
      </c>
      <c r="H42" s="10">
        <f t="shared" si="3"/>
        <v>2.5700000000000003</v>
      </c>
      <c r="I42" s="10"/>
    </row>
    <row r="43" spans="1:9" x14ac:dyDescent="0.2">
      <c r="D43" s="2">
        <v>2008</v>
      </c>
      <c r="E43" s="5">
        <v>39448</v>
      </c>
      <c r="F43" s="9" cm="1">
        <f t="array" ref="F43">xlFOCUS_ExpectativasAnuais("PIB Total",,$E43,WORKDAY($E43,1,Holidays),WORKDAY($E43,1,Holidays),0,"Mediana")</f>
        <v>4.5</v>
      </c>
      <c r="G43" s="2" cm="1">
        <f t="array" ref="G43">xlFOCUS_SGS($B$34,$E43,$E43,$B$37)</f>
        <v>5.09</v>
      </c>
      <c r="H43" s="10">
        <f t="shared" si="3"/>
        <v>0.58999999999999986</v>
      </c>
      <c r="I43" s="10"/>
    </row>
    <row r="44" spans="1:9" x14ac:dyDescent="0.2">
      <c r="D44" s="2">
        <v>2009</v>
      </c>
      <c r="E44" s="5">
        <v>39814</v>
      </c>
      <c r="F44" s="9" cm="1">
        <f t="array" ref="F44">xlFOCUS_ExpectativasAnuais("PIB Total",,$E44,WORKDAY($E44,1,Holidays),WORKDAY($E44,1,Holidays),0,"Mediana")</f>
        <v>2.4</v>
      </c>
      <c r="G44" s="2" cm="1">
        <f t="array" ref="G44">xlFOCUS_SGS($B$34,$E44,$E44,$B$37)</f>
        <v>-0.13</v>
      </c>
      <c r="H44" s="10">
        <f t="shared" si="3"/>
        <v>-2.5299999999999998</v>
      </c>
      <c r="I44" s="10"/>
    </row>
    <row r="45" spans="1:9" x14ac:dyDescent="0.2">
      <c r="D45" s="2">
        <v>2010</v>
      </c>
      <c r="E45" s="5">
        <v>40179</v>
      </c>
      <c r="F45" s="9" cm="1">
        <f t="array" ref="F45">xlFOCUS_ExpectativasAnuais("PIB Total",,$E45,WORKDAY($E45,1,Holidays),WORKDAY($E45,1,Holidays),0,"Mediana")</f>
        <v>5.15</v>
      </c>
      <c r="G45" s="2" cm="1">
        <f t="array" ref="G45">xlFOCUS_SGS($B$34,$E45,$E45,$B$37)</f>
        <v>7.53</v>
      </c>
      <c r="H45" s="10">
        <f t="shared" si="3"/>
        <v>2.38</v>
      </c>
      <c r="I45" s="10">
        <f>AVERAGE(H42:H45)</f>
        <v>0.75250000000000006</v>
      </c>
    </row>
    <row r="46" spans="1:9" x14ac:dyDescent="0.2">
      <c r="D46" s="2">
        <v>2011</v>
      </c>
      <c r="E46" s="5">
        <v>40544</v>
      </c>
      <c r="F46" s="9" cm="1">
        <f t="array" ref="F46">xlFOCUS_ExpectativasAnuais("PIB Total",,$E46,WORKDAY($E46,1,Holidays),WORKDAY($E46,1,Holidays),0,"Mediana")</f>
        <v>4.5</v>
      </c>
      <c r="G46" s="2" cm="1">
        <f t="array" ref="G46">xlFOCUS_SGS($B$34,$E46,$E46,$B$37)</f>
        <v>3.97</v>
      </c>
      <c r="H46" s="10">
        <f t="shared" si="3"/>
        <v>-0.5299999999999998</v>
      </c>
      <c r="I46" s="10"/>
    </row>
    <row r="47" spans="1:9" x14ac:dyDescent="0.2">
      <c r="D47" s="2">
        <v>2012</v>
      </c>
      <c r="E47" s="5">
        <v>40909</v>
      </c>
      <c r="F47" s="9" cm="1">
        <f t="array" ref="F47">xlFOCUS_ExpectativasAnuais("PIB Total",,$E47,WORKDAY($E47,1,Holidays),WORKDAY($E47,1,Holidays),0,"Mediana")</f>
        <v>3.3</v>
      </c>
      <c r="G47" s="2" cm="1">
        <f t="array" ref="G47">xlFOCUS_SGS($B$34,$E47,$E47,$B$37)</f>
        <v>1.92</v>
      </c>
      <c r="H47" s="10">
        <f t="shared" si="3"/>
        <v>-1.38</v>
      </c>
      <c r="I47" s="10"/>
    </row>
    <row r="48" spans="1:9" x14ac:dyDescent="0.2">
      <c r="D48" s="2">
        <v>2013</v>
      </c>
      <c r="E48" s="5">
        <v>41275</v>
      </c>
      <c r="F48" s="9" cm="1">
        <f t="array" ref="F48">xlFOCUS_ExpectativasAnuais("PIB Total",,$E48,WORKDAY($E48,1,Holidays),WORKDAY($E48,1,Holidays),0,"Mediana")</f>
        <v>3.3</v>
      </c>
      <c r="G48" s="2" cm="1">
        <f t="array" ref="G48">xlFOCUS_SGS($B$34,$E48,$E48,$B$37)</f>
        <v>3</v>
      </c>
      <c r="H48" s="10">
        <f t="shared" si="3"/>
        <v>-0.29999999999999982</v>
      </c>
      <c r="I48" s="10"/>
    </row>
    <row r="49" spans="1:9" x14ac:dyDescent="0.2">
      <c r="D49" s="2">
        <v>2014</v>
      </c>
      <c r="E49" s="5">
        <v>41640</v>
      </c>
      <c r="F49" s="9" cm="1">
        <f t="array" ref="F49">xlFOCUS_ExpectativasAnuais("PIB Total",,$E49,WORKDAY($E49,1,Holidays),WORKDAY($E49,1,Holidays),0,"Mediana")</f>
        <v>1.99</v>
      </c>
      <c r="G49" s="2" cm="1">
        <f t="array" ref="G49">xlFOCUS_SGS($B$34,$E49,$E49,$B$37)</f>
        <v>0.5</v>
      </c>
      <c r="H49" s="10">
        <f t="shared" si="3"/>
        <v>-1.49</v>
      </c>
      <c r="I49" s="10">
        <f>AVERAGE(H46:H49)</f>
        <v>-0.92499999999999982</v>
      </c>
    </row>
    <row r="50" spans="1:9" x14ac:dyDescent="0.2">
      <c r="D50" s="2">
        <v>2015</v>
      </c>
      <c r="E50" s="5">
        <v>42005</v>
      </c>
      <c r="F50" s="9" cm="1">
        <f t="array" ref="F50">xlFOCUS_ExpectativasAnuais("PIB Total",,$E50,WORKDAY($E50,1,Holidays),WORKDAY($E50,1,Holidays),0,"Mediana")</f>
        <v>0.5</v>
      </c>
      <c r="G50" s="2" cm="1">
        <f t="array" ref="G50">xlFOCUS_SGS($B$34,$E50,$E50,$B$37)</f>
        <v>-3.55</v>
      </c>
      <c r="H50" s="10">
        <f t="shared" si="3"/>
        <v>-4.05</v>
      </c>
      <c r="I50" s="10"/>
    </row>
    <row r="51" spans="1:9" x14ac:dyDescent="0.2">
      <c r="D51" s="2">
        <v>2016</v>
      </c>
      <c r="E51" s="5">
        <v>42370</v>
      </c>
      <c r="F51" s="9" cm="1">
        <f t="array" ref="F51">xlFOCUS_ExpectativasAnuais("PIB Total",,$E51,WORKDAY($E51,1,Holidays),WORKDAY($E51,1,Holidays),0,"Mediana")</f>
        <v>-2.95</v>
      </c>
      <c r="G51" s="2" cm="1">
        <f t="array" ref="G51">xlFOCUS_SGS($B$34,$E51,$E51,$B$37)</f>
        <v>-3.28</v>
      </c>
      <c r="H51" s="10">
        <f t="shared" si="3"/>
        <v>-0.32999999999999963</v>
      </c>
      <c r="I51" s="10">
        <f>AVERAGE(H50:H51)</f>
        <v>-2.1899999999999995</v>
      </c>
    </row>
    <row r="52" spans="1:9" x14ac:dyDescent="0.2">
      <c r="D52" s="2">
        <v>2017</v>
      </c>
      <c r="E52" s="5">
        <v>42736</v>
      </c>
      <c r="F52" s="9" cm="1">
        <f t="array" ref="F52">xlFOCUS_ExpectativasAnuais("PIB Total",,$E52,WORKDAY($E52,1,Holidays),WORKDAY($E52,1,Holidays),0,"Mediana")</f>
        <v>0.5</v>
      </c>
      <c r="G52" s="2" cm="1">
        <f t="array" ref="G52">xlFOCUS_SGS($B$34,$E52,$E52,$B$37)</f>
        <v>1.32</v>
      </c>
      <c r="H52" s="10">
        <f t="shared" si="3"/>
        <v>0.82000000000000006</v>
      </c>
      <c r="I52" s="10"/>
    </row>
    <row r="53" spans="1:9" x14ac:dyDescent="0.2">
      <c r="D53" s="2">
        <v>2018</v>
      </c>
      <c r="E53" s="5">
        <v>43101</v>
      </c>
      <c r="F53" s="9" cm="1">
        <f t="array" ref="F53">xlFOCUS_ExpectativasAnuais("PIB Total",,$E53,WORKDAY($E53,1,Holidays),WORKDAY($E53,1,Holidays),0,"Mediana")</f>
        <v>2.69</v>
      </c>
      <c r="G53" s="2" cm="1">
        <f t="array" ref="G53">xlFOCUS_SGS($B$34,$E53,$E53,$B$37)</f>
        <v>1.78</v>
      </c>
      <c r="H53" s="10">
        <f t="shared" si="3"/>
        <v>-0.90999999999999992</v>
      </c>
      <c r="I53" s="10">
        <f>AVERAGE(H52:H53)</f>
        <v>-4.4999999999999929E-2</v>
      </c>
    </row>
    <row r="54" spans="1:9" x14ac:dyDescent="0.2">
      <c r="D54" s="2">
        <v>2019</v>
      </c>
      <c r="E54" s="5">
        <v>43466</v>
      </c>
      <c r="F54" s="9" cm="1">
        <f t="array" ref="F54">xlFOCUS_ExpectativasAnuais("PIB Total",,$E54,WORKDAY($E54,1,Holidays),WORKDAY($E54,1,Holidays),0,"Mediana")</f>
        <v>2.5299999999999998</v>
      </c>
      <c r="G54" s="2" cm="1">
        <f t="array" ref="G54">xlFOCUS_SGS($B$34,$E54,$E54,$B$37)</f>
        <v>1.22</v>
      </c>
      <c r="H54" s="10">
        <f t="shared" si="3"/>
        <v>-1.3099999999999998</v>
      </c>
      <c r="I54" s="10"/>
    </row>
    <row r="55" spans="1:9" x14ac:dyDescent="0.2">
      <c r="D55" s="2">
        <v>2020</v>
      </c>
      <c r="E55" s="5">
        <v>43831</v>
      </c>
      <c r="F55" s="9" cm="1">
        <f t="array" ref="F55">xlFOCUS_ExpectativasAnuais("PIB Total",,$E55,WORKDAY($E55,1,Holidays),WORKDAY($E55,1,Holidays),0,"Mediana")</f>
        <v>2.2999999999999998</v>
      </c>
      <c r="G55" s="2" cm="1">
        <f t="array" ref="G55">xlFOCUS_SGS($B$34,$E55,$E55,$B$37)</f>
        <v>-3.28</v>
      </c>
      <c r="H55" s="10">
        <f t="shared" si="3"/>
        <v>-5.58</v>
      </c>
      <c r="I55" s="10"/>
    </row>
    <row r="56" spans="1:9" x14ac:dyDescent="0.2">
      <c r="D56" s="2">
        <v>2021</v>
      </c>
      <c r="E56" s="5">
        <v>44197</v>
      </c>
      <c r="F56" s="9" cm="1">
        <f t="array" ref="F56">xlFOCUS_ExpectativasAnuais("PIB Total",,$E56,WORKDAY($E56,1,Holidays),WORKDAY($E56,1,Holidays),0,"Mediana")</f>
        <v>3.4</v>
      </c>
      <c r="G56" s="2" cm="1">
        <f t="array" ref="G56">xlFOCUS_SGS($B$34,$E56,$E56,$B$37)</f>
        <v>4.99</v>
      </c>
      <c r="H56" s="10">
        <f t="shared" si="3"/>
        <v>1.5900000000000003</v>
      </c>
      <c r="I56" s="10"/>
    </row>
    <row r="57" spans="1:9" x14ac:dyDescent="0.2">
      <c r="D57" s="2">
        <v>2022</v>
      </c>
      <c r="E57" s="5">
        <v>44562</v>
      </c>
      <c r="F57" s="9" cm="1">
        <f t="array" ref="F57">xlFOCUS_ExpectativasAnuais("PIB Total",,$E57,WORKDAY($E57,1,Holidays),WORKDAY($E57,1,Holidays),0,"Mediana")</f>
        <v>0.3</v>
      </c>
      <c r="G57" s="2" cm="1">
        <f t="array" ref="G57">xlFOCUS_SGS($B$34,$E57,$E57,$B$37)</f>
        <v>2.9</v>
      </c>
      <c r="H57" s="10">
        <f t="shared" si="3"/>
        <v>2.6</v>
      </c>
      <c r="I57" s="10">
        <f>AVERAGE(H54:H57)</f>
        <v>-0.67499999999999971</v>
      </c>
    </row>
    <row r="58" spans="1:9" x14ac:dyDescent="0.2">
      <c r="D58" s="2">
        <v>2023</v>
      </c>
      <c r="E58" s="5">
        <v>44927</v>
      </c>
      <c r="F58" s="7" cm="1">
        <f t="array" ref="F58">xlFOCUS_ExpectativasAnuais("PIB Total",,$E58,WORKDAY($E58,1,Holidays),WORKDAY($E58,1,Holidays),0,"Mediana")</f>
        <v>0.79300000000000004</v>
      </c>
      <c r="G58" s="30" cm="1">
        <f t="array" ref="G58">_xlfn.TAKE(xlFOCUS_ExpectativasAnuais("PIB Total",,$E58,WORKDAY($E58,1,Holidays),DATE(YEAR($E58),12,31),0,"Mediana"),-1)</f>
        <v>2.8921999999999999</v>
      </c>
      <c r="H58" s="10">
        <f t="shared" ref="H58" si="4">G58-F58</f>
        <v>2.0991999999999997</v>
      </c>
    </row>
    <row r="63" spans="1:9" x14ac:dyDescent="0.2">
      <c r="F63" s="3" t="s">
        <v>22</v>
      </c>
      <c r="G63" s="3" t="s">
        <v>23</v>
      </c>
      <c r="H63" s="3" t="s">
        <v>16</v>
      </c>
      <c r="I63" s="3"/>
    </row>
    <row r="64" spans="1:9" x14ac:dyDescent="0.2">
      <c r="A64" s="3" t="s">
        <v>17</v>
      </c>
      <c r="B64" s="2" t="str">
        <f>"https://www3.bcb.gov.br/sgspub/consultarmetadados/consultarMetadadosSeries.do?method=consultarMetadadosSeriesInternet&amp;hdOidSerieSelecionada="&amp;B65</f>
        <v>https://www3.bcb.gov.br/sgspub/consultarmetadados/consultarMetadadosSeries.do?method=consultarMetadadosSeriesInternet&amp;hdOidSerieSelecionada=7328</v>
      </c>
      <c r="D64" s="2">
        <v>1998</v>
      </c>
      <c r="E64" s="5">
        <v>35796</v>
      </c>
      <c r="F64" s="7"/>
      <c r="G64" s="8"/>
    </row>
    <row r="65" spans="1:9" x14ac:dyDescent="0.2">
      <c r="A65" s="3" t="s">
        <v>2</v>
      </c>
      <c r="B65" s="4">
        <v>7328</v>
      </c>
      <c r="D65" s="2">
        <v>1999</v>
      </c>
      <c r="E65" s="5">
        <v>36161</v>
      </c>
      <c r="F65" s="7"/>
      <c r="G65" s="8"/>
    </row>
    <row r="66" spans="1:9" x14ac:dyDescent="0.2">
      <c r="A66" s="3" t="s">
        <v>10</v>
      </c>
      <c r="B66" s="6">
        <v>37257</v>
      </c>
      <c r="D66" s="2">
        <v>2000</v>
      </c>
      <c r="E66" s="5">
        <v>36526</v>
      </c>
      <c r="F66" s="7"/>
      <c r="G66" s="8"/>
      <c r="H66" s="10"/>
      <c r="I66" s="10"/>
    </row>
    <row r="67" spans="1:9" x14ac:dyDescent="0.2">
      <c r="A67" s="3" t="s">
        <v>11</v>
      </c>
      <c r="B67" s="6">
        <v>44927</v>
      </c>
      <c r="D67" s="2">
        <v>2001</v>
      </c>
      <c r="E67" s="5">
        <v>36892</v>
      </c>
      <c r="F67" s="9" cm="1">
        <f t="array" ref="F67">xlFOCUS_ExpectativasAnuais("PIB Indústria",,$E67,WORKDAY($E67,1,Holidays),WORKDAY($E67,1,Holidays),0,"Mediana")</f>
        <v>5</v>
      </c>
      <c r="G67" s="2" cm="1">
        <f t="array" ref="G67">xlFOCUS_SGS($B$65,$E67,$E67,$B$68)</f>
        <v>-0.64</v>
      </c>
      <c r="H67" s="10">
        <f t="shared" ref="H67:H88" si="5">G67-F67</f>
        <v>-5.64</v>
      </c>
      <c r="I67" s="10"/>
    </row>
    <row r="68" spans="1:9" x14ac:dyDescent="0.2">
      <c r="A68" s="3" t="s">
        <v>18</v>
      </c>
      <c r="B68" s="4"/>
      <c r="D68" s="2">
        <v>2002</v>
      </c>
      <c r="E68" s="5">
        <v>37257</v>
      </c>
      <c r="F68" s="9" cm="1">
        <f t="array" ref="F68">xlFOCUS_ExpectativasAnuais("PIB Indústria",,$E68,WORKDAY($E68,1,Holidays),WORKDAY($E68,1,Holidays),0,"Mediana")</f>
        <v>1.7</v>
      </c>
      <c r="G68" s="2" cm="1">
        <f t="array" ref="G68">xlFOCUS_SGS($B$65,$E68,$E68,$B$68)</f>
        <v>3.8</v>
      </c>
      <c r="H68" s="10">
        <f t="shared" si="5"/>
        <v>2.0999999999999996</v>
      </c>
      <c r="I68" s="10"/>
    </row>
    <row r="69" spans="1:9" x14ac:dyDescent="0.2">
      <c r="A69" s="3" t="s">
        <v>19</v>
      </c>
      <c r="B69" s="11"/>
      <c r="D69" s="2">
        <v>2003</v>
      </c>
      <c r="E69" s="5">
        <v>37622</v>
      </c>
      <c r="F69" s="9" cm="1">
        <f t="array" ref="F69">xlFOCUS_ExpectativasAnuais("PIB Indústria",,$E69,WORKDAY($E69,1,Holidays),WORKDAY($E69,1,Holidays),0,"Mediana")</f>
        <v>2</v>
      </c>
      <c r="G69" s="2" cm="1">
        <f t="array" ref="G69">xlFOCUS_SGS($B$65,$E69,$E69,$B$68)</f>
        <v>0.1</v>
      </c>
      <c r="H69" s="10">
        <f t="shared" si="5"/>
        <v>-1.9</v>
      </c>
      <c r="I69" s="10"/>
    </row>
    <row r="70" spans="1:9" x14ac:dyDescent="0.2">
      <c r="D70" s="2">
        <v>2004</v>
      </c>
      <c r="E70" s="5">
        <v>37987</v>
      </c>
      <c r="F70" s="9" cm="1">
        <f t="array" ref="F70">xlFOCUS_ExpectativasAnuais("PIB Indústria",,$E70,WORKDAY($E70,1,Holidays),WORKDAY($E70,1,Holidays),0,"Mediana")</f>
        <v>4.5</v>
      </c>
      <c r="G70" s="2" cm="1">
        <f t="array" ref="G70">xlFOCUS_SGS($B$65,$E70,$E70,$B$68)</f>
        <v>8.2100000000000009</v>
      </c>
      <c r="H70" s="10">
        <f t="shared" si="5"/>
        <v>3.7100000000000009</v>
      </c>
      <c r="I70" s="10"/>
    </row>
    <row r="71" spans="1:9" x14ac:dyDescent="0.2">
      <c r="D71" s="2">
        <v>2005</v>
      </c>
      <c r="E71" s="5">
        <v>38353</v>
      </c>
      <c r="F71" s="9" cm="1">
        <f t="array" ref="F71">xlFOCUS_ExpectativasAnuais("PIB Indústria",,$E71,WORKDAY($E71,1,Holidays),WORKDAY($E71,1,Holidays),0,"Mediana")</f>
        <v>4.4000000000000004</v>
      </c>
      <c r="G71" s="2" cm="1">
        <f t="array" ref="G71">xlFOCUS_SGS($B$65,$E71,$E71,$B$68)</f>
        <v>1.99</v>
      </c>
      <c r="H71" s="10">
        <f t="shared" si="5"/>
        <v>-2.41</v>
      </c>
      <c r="I71" s="10"/>
    </row>
    <row r="72" spans="1:9" x14ac:dyDescent="0.2">
      <c r="D72" s="2">
        <v>2006</v>
      </c>
      <c r="E72" s="5">
        <v>38718</v>
      </c>
      <c r="F72" s="9" cm="1">
        <f t="array" ref="F72">xlFOCUS_ExpectativasAnuais("PIB Indústria",,$E72,WORKDAY($E72,1,Holidays),WORKDAY($E72,1,Holidays),0,"Mediana")</f>
        <v>4</v>
      </c>
      <c r="G72" s="2" cm="1">
        <f t="array" ref="G72">xlFOCUS_SGS($B$65,$E72,$E72,$B$68)</f>
        <v>2.0099999999999998</v>
      </c>
      <c r="H72" s="10">
        <f t="shared" si="5"/>
        <v>-1.9900000000000002</v>
      </c>
      <c r="I72" s="10"/>
    </row>
    <row r="73" spans="1:9" x14ac:dyDescent="0.2">
      <c r="D73" s="2">
        <v>2007</v>
      </c>
      <c r="E73" s="5">
        <v>39083</v>
      </c>
      <c r="F73" s="9" cm="1">
        <f t="array" ref="F73">xlFOCUS_ExpectativasAnuais("PIB Indústria",,$E73,WORKDAY($E73,1,Holidays),WORKDAY($E73,1,Holidays),0,"Mediana")</f>
        <v>4</v>
      </c>
      <c r="G73" s="2" cm="1">
        <f t="array" ref="G73">xlFOCUS_SGS($B$65,$E73,$E73,$B$68)</f>
        <v>6.21</v>
      </c>
      <c r="H73" s="10">
        <f t="shared" si="5"/>
        <v>2.21</v>
      </c>
      <c r="I73" s="10"/>
    </row>
    <row r="74" spans="1:9" x14ac:dyDescent="0.2">
      <c r="D74" s="2">
        <v>2008</v>
      </c>
      <c r="E74" s="5">
        <v>39448</v>
      </c>
      <c r="F74" s="9" cm="1">
        <f t="array" ref="F74">xlFOCUS_ExpectativasAnuais("PIB Indústria",,$E74,WORKDAY($E74,1,Holidays),WORKDAY($E74,1,Holidays),0,"Mediana")</f>
        <v>4.5</v>
      </c>
      <c r="G74" s="2" cm="1">
        <f t="array" ref="G74">xlFOCUS_SGS($B$65,$E74,$E74,$B$68)</f>
        <v>4.0999999999999996</v>
      </c>
      <c r="H74" s="10">
        <f t="shared" si="5"/>
        <v>-0.40000000000000036</v>
      </c>
      <c r="I74" s="10"/>
    </row>
    <row r="75" spans="1:9" x14ac:dyDescent="0.2">
      <c r="D75" s="2">
        <v>2009</v>
      </c>
      <c r="E75" s="5">
        <v>39814</v>
      </c>
      <c r="F75" s="9" cm="1">
        <f t="array" ref="F75">xlFOCUS_ExpectativasAnuais("PIB Indústria",,$E75,WORKDAY($E75,1,Holidays),WORKDAY($E75,1,Holidays),0,"Mediana")</f>
        <v>2.2000000000000002</v>
      </c>
      <c r="G75" s="2" cm="1">
        <f t="array" ref="G75">xlFOCUS_SGS($B$65,$E75,$E75,$B$68)</f>
        <v>-4.7</v>
      </c>
      <c r="H75" s="10">
        <f t="shared" si="5"/>
        <v>-6.9</v>
      </c>
      <c r="I75" s="10"/>
    </row>
    <row r="76" spans="1:9" x14ac:dyDescent="0.2">
      <c r="D76" s="2">
        <v>2010</v>
      </c>
      <c r="E76" s="5">
        <v>40179</v>
      </c>
      <c r="F76" s="9" cm="1">
        <f t="array" ref="F76">xlFOCUS_ExpectativasAnuais("PIB Indústria",,$E76,WORKDAY($E76,1,Holidays),WORKDAY($E76,1,Holidays),0,"Mediana")</f>
        <v>5.8</v>
      </c>
      <c r="G76" s="2" cm="1">
        <f t="array" ref="G76">xlFOCUS_SGS($B$65,$E76,$E76,$B$68)</f>
        <v>10.199999999999999</v>
      </c>
      <c r="H76" s="10">
        <f t="shared" si="5"/>
        <v>4.3999999999999995</v>
      </c>
      <c r="I76" s="10"/>
    </row>
    <row r="77" spans="1:9" x14ac:dyDescent="0.2">
      <c r="D77" s="2">
        <v>2011</v>
      </c>
      <c r="E77" s="5">
        <v>40544</v>
      </c>
      <c r="F77" s="9" cm="1">
        <f t="array" ref="F77">xlFOCUS_ExpectativasAnuais("PIB Indústria",,$E77,WORKDAY($E77,1,Holidays),WORKDAY($E77,1,Holidays),0,"Mediana")</f>
        <v>5</v>
      </c>
      <c r="G77" s="2" cm="1">
        <f t="array" ref="G77">xlFOCUS_SGS($B$65,$E77,$E77,$B$68)</f>
        <v>4.1100000000000003</v>
      </c>
      <c r="H77" s="10">
        <f t="shared" si="5"/>
        <v>-0.88999999999999968</v>
      </c>
      <c r="I77" s="10"/>
    </row>
    <row r="78" spans="1:9" x14ac:dyDescent="0.2">
      <c r="D78" s="2">
        <v>2012</v>
      </c>
      <c r="E78" s="5">
        <v>40909</v>
      </c>
      <c r="F78" s="9" cm="1">
        <f t="array" ref="F78">xlFOCUS_ExpectativasAnuais("PIB Indústria",,$E78,WORKDAY($E78,1,Holidays),WORKDAY($E78,1,Holidays),0,"Mediana")</f>
        <v>3</v>
      </c>
      <c r="G78" s="2" cm="1">
        <f t="array" ref="G78">xlFOCUS_SGS($B$65,$E78,$E78,$B$68)</f>
        <v>-0.72</v>
      </c>
      <c r="H78" s="10">
        <f t="shared" si="5"/>
        <v>-3.7199999999999998</v>
      </c>
      <c r="I78" s="10"/>
    </row>
    <row r="79" spans="1:9" x14ac:dyDescent="0.2">
      <c r="D79" s="2">
        <v>2013</v>
      </c>
      <c r="E79" s="5">
        <v>41275</v>
      </c>
      <c r="F79" s="9" cm="1">
        <f t="array" ref="F79">xlFOCUS_ExpectativasAnuais("PIB Indústria",,$E79,WORKDAY($E79,1,Holidays),WORKDAY($E79,1,Holidays),0,"Mediana")</f>
        <v>3.35</v>
      </c>
      <c r="G79" s="2" cm="1">
        <f t="array" ref="G79">xlFOCUS_SGS($B$65,$E79,$E79,$B$68)</f>
        <v>2.17</v>
      </c>
      <c r="H79" s="10">
        <f t="shared" si="5"/>
        <v>-1.1800000000000002</v>
      </c>
      <c r="I79" s="10"/>
    </row>
    <row r="80" spans="1:9" x14ac:dyDescent="0.2">
      <c r="D80" s="2">
        <v>2014</v>
      </c>
      <c r="E80" s="5">
        <v>41640</v>
      </c>
      <c r="F80" s="9" cm="1">
        <f t="array" ref="F80">xlFOCUS_ExpectativasAnuais("PIB Indústria",,$E80,WORKDAY($E80,1,Holidays),WORKDAY($E80,1,Holidays),0,"Mediana")</f>
        <v>2.02</v>
      </c>
      <c r="G80" s="2" cm="1">
        <f t="array" ref="G80">xlFOCUS_SGS($B$65,$E80,$E80,$B$68)</f>
        <v>-1.51</v>
      </c>
      <c r="H80" s="10">
        <f t="shared" si="5"/>
        <v>-3.5300000000000002</v>
      </c>
      <c r="I80" s="10"/>
    </row>
    <row r="81" spans="1:9" x14ac:dyDescent="0.2">
      <c r="D81" s="2">
        <v>2015</v>
      </c>
      <c r="E81" s="5">
        <v>42005</v>
      </c>
      <c r="F81" s="9" cm="1">
        <f t="array" ref="F81">xlFOCUS_ExpectativasAnuais("PIB Indústria",,$E81,WORKDAY($E81,1,Holidays),WORKDAY($E81,1,Holidays),0,"Mediana")</f>
        <v>0.83</v>
      </c>
      <c r="G81" s="2" cm="1">
        <f t="array" ref="G81">xlFOCUS_SGS($B$65,$E81,$E81,$B$68)</f>
        <v>-5.76</v>
      </c>
      <c r="H81" s="10">
        <f t="shared" si="5"/>
        <v>-6.59</v>
      </c>
      <c r="I81" s="10"/>
    </row>
    <row r="82" spans="1:9" x14ac:dyDescent="0.2">
      <c r="D82" s="2">
        <v>2016</v>
      </c>
      <c r="E82" s="5">
        <v>42370</v>
      </c>
      <c r="F82" s="9" cm="1">
        <f t="array" ref="F82">xlFOCUS_ExpectativasAnuais("PIB Indústria",,$E82,WORKDAY($E82,1,Holidays),WORKDAY($E82,1,Holidays),0,"Mediana")</f>
        <v>-3.76</v>
      </c>
      <c r="G82" s="2" cm="1">
        <f t="array" ref="G82">xlFOCUS_SGS($B$65,$E82,$E82,$B$68)</f>
        <v>-4.57</v>
      </c>
      <c r="H82" s="10">
        <f t="shared" si="5"/>
        <v>-0.8100000000000005</v>
      </c>
      <c r="I82" s="10"/>
    </row>
    <row r="83" spans="1:9" x14ac:dyDescent="0.2">
      <c r="D83" s="2">
        <v>2017</v>
      </c>
      <c r="E83" s="5">
        <v>42736</v>
      </c>
      <c r="F83" s="9" cm="1">
        <f t="array" ref="F83">xlFOCUS_ExpectativasAnuais("PIB Indústria",,$E83,WORKDAY($E83,1,Holidays),WORKDAY($E83,1,Holidays),0,"Mediana")</f>
        <v>0.68</v>
      </c>
      <c r="G83" s="2" cm="1">
        <f t="array" ref="G83">xlFOCUS_SGS($B$65,$E83,$E83,$B$68)</f>
        <v>-0.5</v>
      </c>
      <c r="H83" s="10">
        <f t="shared" si="5"/>
        <v>-1.1800000000000002</v>
      </c>
      <c r="I83" s="10"/>
    </row>
    <row r="84" spans="1:9" x14ac:dyDescent="0.2">
      <c r="D84" s="2">
        <v>2018</v>
      </c>
      <c r="E84" s="5">
        <v>43101</v>
      </c>
      <c r="F84" s="9" cm="1">
        <f t="array" ref="F84">xlFOCUS_ExpectativasAnuais("PIB Indústria",,$E84,WORKDAY($E84,1,Holidays),WORKDAY($E84,1,Holidays),0,"Mediana")</f>
        <v>3.21</v>
      </c>
      <c r="G84" s="2" cm="1">
        <f t="array" ref="G84">xlFOCUS_SGS($B$65,$E84,$E84,$B$68)</f>
        <v>0.72</v>
      </c>
      <c r="H84" s="10">
        <f t="shared" si="5"/>
        <v>-2.4900000000000002</v>
      </c>
      <c r="I84" s="10"/>
    </row>
    <row r="85" spans="1:9" x14ac:dyDescent="0.2">
      <c r="D85" s="2">
        <v>2019</v>
      </c>
      <c r="E85" s="5">
        <v>43466</v>
      </c>
      <c r="F85" s="9" cm="1">
        <f t="array" ref="F85">xlFOCUS_ExpectativasAnuais("PIB Indústria",,$E85,WORKDAY($E85,1,Holidays),WORKDAY($E85,1,Holidays),0,"Mediana")</f>
        <v>2.8</v>
      </c>
      <c r="G85" s="2" cm="1">
        <f t="array" ref="G85">xlFOCUS_SGS($B$65,$E85,$E85,$B$68)</f>
        <v>-0.67</v>
      </c>
      <c r="H85" s="10">
        <f t="shared" si="5"/>
        <v>-3.4699999999999998</v>
      </c>
      <c r="I85" s="10"/>
    </row>
    <row r="86" spans="1:9" x14ac:dyDescent="0.2">
      <c r="D86" s="2">
        <v>2020</v>
      </c>
      <c r="E86" s="5">
        <v>43831</v>
      </c>
      <c r="F86" s="9" cm="1">
        <f t="array" ref="F86">xlFOCUS_ExpectativasAnuais("PIB Indústria",,$E86,WORKDAY($E86,1,Holidays),WORKDAY($E86,1,Holidays),0,"Mediana")</f>
        <v>2.4500000000000002</v>
      </c>
      <c r="G86" s="2" cm="1">
        <f t="array" ref="G86">xlFOCUS_SGS($B$65,$E86,$E86,$B$68)</f>
        <v>-2.97</v>
      </c>
      <c r="H86" s="10">
        <f t="shared" si="5"/>
        <v>-5.42</v>
      </c>
      <c r="I86" s="10"/>
    </row>
    <row r="87" spans="1:9" x14ac:dyDescent="0.2">
      <c r="D87" s="2">
        <v>2021</v>
      </c>
      <c r="E87" s="5">
        <v>44197</v>
      </c>
      <c r="F87" s="9" cm="1">
        <f t="array" ref="F87">xlFOCUS_ExpectativasAnuais("PIB Indústria",,$E87,WORKDAY($E87,1,Holidays),WORKDAY($E87,1,Holidays),0,"Mediana")</f>
        <v>4.1399999999999997</v>
      </c>
      <c r="G87" s="2" cm="1">
        <f t="array" ref="G87">xlFOCUS_SGS($B$65,$E87,$E87,$B$68)</f>
        <v>4.78</v>
      </c>
      <c r="H87" s="10">
        <f t="shared" si="5"/>
        <v>0.64000000000000057</v>
      </c>
      <c r="I87" s="10"/>
    </row>
    <row r="88" spans="1:9" x14ac:dyDescent="0.2">
      <c r="D88" s="2">
        <v>2022</v>
      </c>
      <c r="E88" s="5">
        <v>44562</v>
      </c>
      <c r="F88" s="9" cm="1">
        <f t="array" ref="F88">xlFOCUS_ExpectativasAnuais("PIB Indústria",,$E88,WORKDAY($E88,1,Holidays),WORKDAY($E88,1,Holidays),0,"Mediana")</f>
        <v>0.2</v>
      </c>
      <c r="G88" s="2" cm="1">
        <f t="array" ref="G88">xlFOCUS_SGS($B$65,$E88,$E88,$B$68)</f>
        <v>1.62</v>
      </c>
      <c r="H88" s="10">
        <f t="shared" si="5"/>
        <v>1.4200000000000002</v>
      </c>
      <c r="I88" s="10"/>
    </row>
    <row r="89" spans="1:9" x14ac:dyDescent="0.2">
      <c r="D89" s="2">
        <v>2023</v>
      </c>
      <c r="E89" s="5">
        <v>44927</v>
      </c>
      <c r="F89" s="7" cm="1">
        <f t="array" ref="F89">xlFOCUS_ExpectativasAnuais("PIB Indústria",,$E89,WORKDAY($E89,1,Holidays),WORKDAY($E89,1,Holidays),0,"Mediana")</f>
        <v>0.25</v>
      </c>
      <c r="G89" s="8" cm="1">
        <f t="array" ref="G89">_xlfn.TAKE(xlFOCUS_ExpectativasAnuais("PIB Indústria",,$E89,WORKDAY($E89,1,Holidays),DATE(YEAR($E89),12,31),0,"Mediana"),-1)</f>
        <v>1.4</v>
      </c>
      <c r="H89" s="10">
        <f t="shared" ref="H89" si="6">G89-F89</f>
        <v>1.1499999999999999</v>
      </c>
    </row>
    <row r="93" spans="1:9" x14ac:dyDescent="0.2">
      <c r="F93" s="3" t="s">
        <v>26</v>
      </c>
      <c r="G93" s="3" t="s">
        <v>27</v>
      </c>
      <c r="H93" s="3" t="s">
        <v>16</v>
      </c>
      <c r="I93" s="3"/>
    </row>
    <row r="94" spans="1:9" x14ac:dyDescent="0.2">
      <c r="A94" s="3" t="s">
        <v>17</v>
      </c>
      <c r="B94" s="2" t="str">
        <f>"https://www3.bcb.gov.br/sgspub/consultarmetadados/consultarMetadadosSeries.do?method=consultarMetadadosSeriesInternet&amp;hdOidSerieSelecionada="&amp;B95</f>
        <v>https://www3.bcb.gov.br/sgspub/consultarmetadados/consultarMetadadosSeries.do?method=consultarMetadadosSeriesInternet&amp;hdOidSerieSelecionada=7327</v>
      </c>
      <c r="D94" s="2">
        <v>1998</v>
      </c>
      <c r="E94" s="5">
        <v>35796</v>
      </c>
      <c r="F94" s="7"/>
      <c r="G94" s="8"/>
    </row>
    <row r="95" spans="1:9" x14ac:dyDescent="0.2">
      <c r="A95" s="3" t="s">
        <v>2</v>
      </c>
      <c r="B95" s="4">
        <v>7327</v>
      </c>
      <c r="D95" s="2">
        <v>1999</v>
      </c>
      <c r="E95" s="5">
        <v>36161</v>
      </c>
      <c r="F95" s="7"/>
      <c r="G95" s="8"/>
    </row>
    <row r="96" spans="1:9" x14ac:dyDescent="0.2">
      <c r="A96" s="3" t="s">
        <v>10</v>
      </c>
      <c r="B96" s="6">
        <v>37257</v>
      </c>
      <c r="D96" s="2">
        <v>2000</v>
      </c>
      <c r="E96" s="5">
        <v>36526</v>
      </c>
      <c r="F96" s="7"/>
      <c r="G96" s="8"/>
      <c r="H96" s="10"/>
      <c r="I96" s="10"/>
    </row>
    <row r="97" spans="1:9" x14ac:dyDescent="0.2">
      <c r="A97" s="3" t="s">
        <v>11</v>
      </c>
      <c r="B97" s="6">
        <v>44927</v>
      </c>
      <c r="D97" s="2">
        <v>2001</v>
      </c>
      <c r="E97" s="5">
        <v>36892</v>
      </c>
      <c r="F97" s="9" cm="1">
        <f t="array" ref="F97">xlFOCUS_ExpectativasAnuais("PIB Agropecuária",,$E97,WORKDAY($E97,1,Holidays),WORKDAY($E97,1,Holidays),0,"Mediana")</f>
        <v>4.5</v>
      </c>
      <c r="G97" s="2" cm="1">
        <f t="array" ref="G97">xlFOCUS_SGS($B$95,$E97,$E97,$B$98)</f>
        <v>5.2</v>
      </c>
      <c r="H97" s="10">
        <f t="shared" ref="H97:H118" si="7">G97-F97</f>
        <v>0.70000000000000018</v>
      </c>
      <c r="I97" s="10"/>
    </row>
    <row r="98" spans="1:9" x14ac:dyDescent="0.2">
      <c r="A98" s="3" t="s">
        <v>18</v>
      </c>
      <c r="B98" s="4"/>
      <c r="D98" s="2">
        <v>2002</v>
      </c>
      <c r="E98" s="5">
        <v>37257</v>
      </c>
      <c r="F98" s="9" cm="1">
        <f t="array" ref="F98">xlFOCUS_ExpectativasAnuais("PIB Agropecuária",,$E98,WORKDAY($E98,1,Holidays),WORKDAY($E98,1,Holidays),0,"Mediana")</f>
        <v>3</v>
      </c>
      <c r="G98" s="2" cm="1">
        <f t="array" ref="G98">xlFOCUS_SGS($B$95,$E98,$E98,$B$98)</f>
        <v>8.02</v>
      </c>
      <c r="H98" s="10">
        <f t="shared" si="7"/>
        <v>5.0199999999999996</v>
      </c>
      <c r="I98" s="10"/>
    </row>
    <row r="99" spans="1:9" x14ac:dyDescent="0.2">
      <c r="A99" s="3" t="s">
        <v>19</v>
      </c>
      <c r="B99" s="11"/>
      <c r="D99" s="2">
        <v>2003</v>
      </c>
      <c r="E99" s="5">
        <v>37622</v>
      </c>
      <c r="F99" s="9" cm="1">
        <f t="array" ref="F99">xlFOCUS_ExpectativasAnuais("PIB Agropecuária",,$E99,WORKDAY($E99,1,Holidays),WORKDAY($E99,1,Holidays),0,"Mediana")</f>
        <v>3.85</v>
      </c>
      <c r="G99" s="2" cm="1">
        <f t="array" ref="G99">xlFOCUS_SGS($B$95,$E99,$E99,$B$98)</f>
        <v>8.31</v>
      </c>
      <c r="H99" s="10">
        <f t="shared" si="7"/>
        <v>4.4600000000000009</v>
      </c>
      <c r="I99" s="10"/>
    </row>
    <row r="100" spans="1:9" x14ac:dyDescent="0.2">
      <c r="D100" s="2">
        <v>2004</v>
      </c>
      <c r="E100" s="5">
        <v>37987</v>
      </c>
      <c r="F100" s="9" cm="1">
        <f t="array" ref="F100">xlFOCUS_ExpectativasAnuais("PIB Agropecuária",,$E100,WORKDAY($E100,1,Holidays),WORKDAY($E100,1,Holidays),0,"Mediana")</f>
        <v>4.4000000000000004</v>
      </c>
      <c r="G100" s="2" cm="1">
        <f t="array" ref="G100">xlFOCUS_SGS($B$95,$E100,$E100,$B$98)</f>
        <v>2</v>
      </c>
      <c r="H100" s="10">
        <f t="shared" si="7"/>
        <v>-2.4000000000000004</v>
      </c>
      <c r="I100" s="10"/>
    </row>
    <row r="101" spans="1:9" x14ac:dyDescent="0.2">
      <c r="D101" s="2">
        <v>2005</v>
      </c>
      <c r="E101" s="5">
        <v>38353</v>
      </c>
      <c r="F101" s="9" cm="1">
        <f t="array" ref="F101">xlFOCUS_ExpectativasAnuais("PIB Agropecuária",,$E101,WORKDAY($E101,1,Holidays),WORKDAY($E101,1,Holidays),0,"Mediana")</f>
        <v>4</v>
      </c>
      <c r="G101" s="2" cm="1">
        <f t="array" ref="G101">xlFOCUS_SGS($B$95,$E101,$E101,$B$98)</f>
        <v>1.1200000000000001</v>
      </c>
      <c r="H101" s="10">
        <f t="shared" si="7"/>
        <v>-2.88</v>
      </c>
      <c r="I101" s="10"/>
    </row>
    <row r="102" spans="1:9" x14ac:dyDescent="0.2">
      <c r="D102" s="2">
        <v>2006</v>
      </c>
      <c r="E102" s="5">
        <v>38718</v>
      </c>
      <c r="F102" s="9" cm="1">
        <f t="array" ref="F102">xlFOCUS_ExpectativasAnuais("PIB Agropecuária",,$E102,WORKDAY($E102,1,Holidays),WORKDAY($E102,1,Holidays),0,"Mediana")</f>
        <v>3.6</v>
      </c>
      <c r="G102" s="2" cm="1">
        <f t="array" ref="G102">xlFOCUS_SGS($B$95,$E102,$E102,$B$98)</f>
        <v>4.6399999999999997</v>
      </c>
      <c r="H102" s="10">
        <f t="shared" si="7"/>
        <v>1.0399999999999996</v>
      </c>
      <c r="I102" s="10"/>
    </row>
    <row r="103" spans="1:9" x14ac:dyDescent="0.2">
      <c r="D103" s="2">
        <v>2007</v>
      </c>
      <c r="E103" s="5">
        <v>39083</v>
      </c>
      <c r="F103" s="9" cm="1">
        <f t="array" ref="F103">xlFOCUS_ExpectativasAnuais("PIB Agropecuária",,$E103,WORKDAY($E103,1,Holidays),WORKDAY($E103,1,Holidays),0,"Mediana")</f>
        <v>3.49</v>
      </c>
      <c r="G103" s="2" cm="1">
        <f t="array" ref="G103">xlFOCUS_SGS($B$95,$E103,$E103,$B$98)</f>
        <v>3.25</v>
      </c>
      <c r="H103" s="10">
        <f t="shared" si="7"/>
        <v>-0.24000000000000021</v>
      </c>
      <c r="I103" s="10"/>
    </row>
    <row r="104" spans="1:9" x14ac:dyDescent="0.2">
      <c r="D104" s="2">
        <v>2008</v>
      </c>
      <c r="E104" s="5">
        <v>39448</v>
      </c>
      <c r="F104" s="9" cm="1">
        <f t="array" ref="F104">xlFOCUS_ExpectativasAnuais("PIB Agropecuária",,$E104,WORKDAY($E104,1,Holidays),WORKDAY($E104,1,Holidays),0,"Mediana")</f>
        <v>4.75</v>
      </c>
      <c r="G104" s="2" cm="1">
        <f t="array" ref="G104">xlFOCUS_SGS($B$95,$E104,$E104,$B$98)</f>
        <v>5.77</v>
      </c>
      <c r="H104" s="10">
        <f t="shared" si="7"/>
        <v>1.0199999999999996</v>
      </c>
      <c r="I104" s="10"/>
    </row>
    <row r="105" spans="1:9" x14ac:dyDescent="0.2">
      <c r="D105" s="2">
        <v>2009</v>
      </c>
      <c r="E105" s="5">
        <v>39814</v>
      </c>
      <c r="F105" s="9" cm="1">
        <f t="array" ref="F105">xlFOCUS_ExpectativasAnuais("PIB Agropecuária",,$E105,WORKDAY($E105,1,Holidays),WORKDAY($E105,1,Holidays),0,"Mediana")</f>
        <v>2.5</v>
      </c>
      <c r="G105" s="2" cm="1">
        <f t="array" ref="G105">xlFOCUS_SGS($B$95,$E105,$E105,$B$98)</f>
        <v>-3.73</v>
      </c>
      <c r="H105" s="10">
        <f t="shared" si="7"/>
        <v>-6.23</v>
      </c>
      <c r="I105" s="10"/>
    </row>
    <row r="106" spans="1:9" x14ac:dyDescent="0.2">
      <c r="D106" s="2">
        <v>2010</v>
      </c>
      <c r="E106" s="5">
        <v>40179</v>
      </c>
      <c r="F106" s="9" cm="1">
        <f t="array" ref="F106">xlFOCUS_ExpectativasAnuais("PIB Agropecuária",,$E106,WORKDAY($E106,1,Holidays),WORKDAY($E106,1,Holidays),0,"Mediana")</f>
        <v>4</v>
      </c>
      <c r="G106" s="2" cm="1">
        <f t="array" ref="G106">xlFOCUS_SGS($B$95,$E106,$E106,$B$98)</f>
        <v>6.7</v>
      </c>
      <c r="H106" s="10">
        <f t="shared" si="7"/>
        <v>2.7</v>
      </c>
      <c r="I106" s="10"/>
    </row>
    <row r="107" spans="1:9" x14ac:dyDescent="0.2">
      <c r="D107" s="2">
        <v>2011</v>
      </c>
      <c r="E107" s="5">
        <v>40544</v>
      </c>
      <c r="F107" s="9" cm="1">
        <f t="array" ref="F107">xlFOCUS_ExpectativasAnuais("PIB Agropecuária",,$E107,WORKDAY($E107,1,Holidays),WORKDAY($E107,1,Holidays),0,"Mediana")</f>
        <v>4.5</v>
      </c>
      <c r="G107" s="2" cm="1">
        <f t="array" ref="G107">xlFOCUS_SGS($B$95,$E107,$E107,$B$98)</f>
        <v>5.64</v>
      </c>
      <c r="H107" s="10">
        <f t="shared" si="7"/>
        <v>1.1399999999999997</v>
      </c>
      <c r="I107" s="10"/>
    </row>
    <row r="108" spans="1:9" x14ac:dyDescent="0.2">
      <c r="D108" s="2">
        <v>2012</v>
      </c>
      <c r="E108" s="5">
        <v>40909</v>
      </c>
      <c r="F108" s="9" cm="1">
        <f t="array" ref="F108">xlFOCUS_ExpectativasAnuais("PIB Agropecuária",,$E108,WORKDAY($E108,1,Holidays),WORKDAY($E108,1,Holidays),0,"Mediana")</f>
        <v>3.79</v>
      </c>
      <c r="G108" s="2" cm="1">
        <f t="array" ref="G108">xlFOCUS_SGS($B$95,$E108,$E108,$B$98)</f>
        <v>-3.08</v>
      </c>
      <c r="H108" s="10">
        <f t="shared" si="7"/>
        <v>-6.87</v>
      </c>
      <c r="I108" s="10"/>
    </row>
    <row r="109" spans="1:9" x14ac:dyDescent="0.2">
      <c r="D109" s="2">
        <v>2013</v>
      </c>
      <c r="E109" s="5">
        <v>41275</v>
      </c>
      <c r="F109" s="9" cm="1">
        <f t="array" ref="F109">xlFOCUS_ExpectativasAnuais("PIB Agropecuária",,$E109,WORKDAY($E109,1,Holidays),WORKDAY($E109,1,Holidays),0,"Mediana")</f>
        <v>4.0999999999999996</v>
      </c>
      <c r="G109" s="2" cm="1">
        <f t="array" ref="G109">xlFOCUS_SGS($B$95,$E109,$E109,$B$98)</f>
        <v>8.36</v>
      </c>
      <c r="H109" s="10">
        <f t="shared" si="7"/>
        <v>4.26</v>
      </c>
      <c r="I109" s="10"/>
    </row>
    <row r="110" spans="1:9" x14ac:dyDescent="0.2">
      <c r="D110" s="2">
        <v>2014</v>
      </c>
      <c r="E110" s="5">
        <v>41640</v>
      </c>
      <c r="F110" s="9" cm="1">
        <f t="array" ref="F110">xlFOCUS_ExpectativasAnuais("PIB Agropecuária",,$E110,WORKDAY($E110,1,Holidays),WORKDAY($E110,1,Holidays),0,"Mediana")</f>
        <v>3</v>
      </c>
      <c r="G110" s="2" cm="1">
        <f t="array" ref="G110">xlFOCUS_SGS($B$95,$E110,$E110,$B$98)</f>
        <v>2.79</v>
      </c>
      <c r="H110" s="10">
        <f t="shared" si="7"/>
        <v>-0.20999999999999996</v>
      </c>
      <c r="I110" s="10"/>
    </row>
    <row r="111" spans="1:9" x14ac:dyDescent="0.2">
      <c r="D111" s="2">
        <v>2015</v>
      </c>
      <c r="E111" s="5">
        <v>42005</v>
      </c>
      <c r="F111" s="9" cm="1">
        <f t="array" ref="F111">xlFOCUS_ExpectativasAnuais("PIB Agropecuária",,$E111,WORKDAY($E111,1,Holidays),WORKDAY($E111,1,Holidays),0,"Mediana")</f>
        <v>2.08</v>
      </c>
      <c r="G111" s="2" cm="1">
        <f t="array" ref="G111">xlFOCUS_SGS($B$95,$E111,$E111,$B$98)</f>
        <v>3.31</v>
      </c>
      <c r="H111" s="10">
        <f t="shared" si="7"/>
        <v>1.23</v>
      </c>
      <c r="I111" s="10"/>
    </row>
    <row r="112" spans="1:9" x14ac:dyDescent="0.2">
      <c r="D112" s="2">
        <v>2016</v>
      </c>
      <c r="E112" s="5">
        <v>42370</v>
      </c>
      <c r="F112" s="9" cm="1">
        <f t="array" ref="F112">xlFOCUS_ExpectativasAnuais("PIB Agropecuária",,$E112,WORKDAY($E112,1,Holidays),WORKDAY($E112,1,Holidays),0,"Mediana")</f>
        <v>1.91</v>
      </c>
      <c r="G112" s="2" cm="1">
        <f t="array" ref="G112">xlFOCUS_SGS($B$95,$E112,$E112,$B$98)</f>
        <v>-5.22</v>
      </c>
      <c r="H112" s="10">
        <f t="shared" si="7"/>
        <v>-7.13</v>
      </c>
      <c r="I112" s="10"/>
    </row>
    <row r="113" spans="1:9" x14ac:dyDescent="0.2">
      <c r="D113" s="2">
        <v>2017</v>
      </c>
      <c r="E113" s="5">
        <v>42736</v>
      </c>
      <c r="F113" s="9" cm="1">
        <f t="array" ref="F113">xlFOCUS_ExpectativasAnuais("PIB Agropecuária",,$E113,WORKDAY($E113,1,Holidays),WORKDAY($E113,1,Holidays),0,"Mediana")</f>
        <v>3.37</v>
      </c>
      <c r="G113" s="2" cm="1">
        <f t="array" ref="G113">xlFOCUS_SGS($B$95,$E113,$E113,$B$98)</f>
        <v>14.15</v>
      </c>
      <c r="H113" s="10">
        <f t="shared" si="7"/>
        <v>10.780000000000001</v>
      </c>
      <c r="I113" s="10"/>
    </row>
    <row r="114" spans="1:9" x14ac:dyDescent="0.2">
      <c r="D114" s="2">
        <v>2018</v>
      </c>
      <c r="E114" s="5">
        <v>43101</v>
      </c>
      <c r="F114" s="9" cm="1">
        <f t="array" ref="F114">xlFOCUS_ExpectativasAnuais("PIB Agropecuária",,$E114,WORKDAY($E114,1,Holidays),WORKDAY($E114,1,Holidays),0,"Mediana")</f>
        <v>-0.43</v>
      </c>
      <c r="G114" s="2" cm="1">
        <f t="array" ref="G114">xlFOCUS_SGS($B$95,$E114,$E114,$B$98)</f>
        <v>1.31</v>
      </c>
      <c r="H114" s="10">
        <f t="shared" si="7"/>
        <v>1.74</v>
      </c>
      <c r="I114" s="10"/>
    </row>
    <row r="115" spans="1:9" x14ac:dyDescent="0.2">
      <c r="D115" s="2">
        <v>2019</v>
      </c>
      <c r="E115" s="5">
        <v>43466</v>
      </c>
      <c r="F115" s="9" cm="1">
        <f t="array" ref="F115">xlFOCUS_ExpectativasAnuais("PIB Agropecuária",,$E115,WORKDAY($E115,1,Holidays),WORKDAY($E115,1,Holidays),0,"Mediana")</f>
        <v>2.57</v>
      </c>
      <c r="G115" s="2" cm="1">
        <f t="array" ref="G115">xlFOCUS_SGS($B$95,$E115,$E115,$B$98)</f>
        <v>0.42</v>
      </c>
      <c r="H115" s="10">
        <f t="shared" si="7"/>
        <v>-2.15</v>
      </c>
      <c r="I115" s="10"/>
    </row>
    <row r="116" spans="1:9" x14ac:dyDescent="0.2">
      <c r="D116" s="2">
        <v>2020</v>
      </c>
      <c r="E116" s="5">
        <v>43831</v>
      </c>
      <c r="F116" s="9" cm="1">
        <f t="array" ref="F116">xlFOCUS_ExpectativasAnuais("PIB Agropecuária",,$E116,WORKDAY($E116,1,Holidays),WORKDAY($E116,1,Holidays),0,"Mediana")</f>
        <v>2.95</v>
      </c>
      <c r="G116" s="2" cm="1">
        <f t="array" ref="G116">xlFOCUS_SGS($B$95,$E116,$E116,$B$98)</f>
        <v>4.17</v>
      </c>
      <c r="H116" s="10">
        <f t="shared" si="7"/>
        <v>1.2199999999999998</v>
      </c>
      <c r="I116" s="10"/>
    </row>
    <row r="117" spans="1:9" x14ac:dyDescent="0.2">
      <c r="D117" s="2">
        <v>2021</v>
      </c>
      <c r="E117" s="5">
        <v>44197</v>
      </c>
      <c r="F117" s="9" cm="1">
        <f t="array" ref="F117">xlFOCUS_ExpectativasAnuais("PIB Agropecuária",,$E117,WORKDAY($E117,1,Holidays),WORKDAY($E117,1,Holidays),0,"Mediana")</f>
        <v>2.23</v>
      </c>
      <c r="G117" s="2" cm="1">
        <f t="array" ref="G117">xlFOCUS_SGS($B$95,$E117,$E117,$B$98)</f>
        <v>0.28000000000000003</v>
      </c>
      <c r="H117" s="10">
        <f t="shared" si="7"/>
        <v>-1.95</v>
      </c>
      <c r="I117" s="10"/>
    </row>
    <row r="118" spans="1:9" x14ac:dyDescent="0.2">
      <c r="D118" s="2">
        <v>2022</v>
      </c>
      <c r="E118" s="5">
        <v>44562</v>
      </c>
      <c r="F118" s="9" cm="1">
        <f t="array" ref="F118">xlFOCUS_ExpectativasAnuais("PIB Agropecuária",,$E118,WORKDAY($E118,1,Holidays),WORKDAY($E118,1,Holidays),0,"Mediana")</f>
        <v>2.5</v>
      </c>
      <c r="G118" s="2" cm="1">
        <f t="array" ref="G118">xlFOCUS_SGS($B$95,$E118,$E118,$B$98)</f>
        <v>-1.74</v>
      </c>
      <c r="H118" s="10">
        <f t="shared" si="7"/>
        <v>-4.24</v>
      </c>
      <c r="I118" s="10"/>
    </row>
    <row r="119" spans="1:9" x14ac:dyDescent="0.2">
      <c r="D119" s="2">
        <v>2023</v>
      </c>
      <c r="E119" s="5">
        <v>44927</v>
      </c>
      <c r="F119" s="7" cm="1">
        <f t="array" ref="F119">xlFOCUS_ExpectativasAnuais("PIB Agropecuária",,$E119,WORKDAY($E119,1,Holidays),WORKDAY($E119,1,Holidays),0,"Mediana")</f>
        <v>6</v>
      </c>
      <c r="G119" s="8" cm="1">
        <f t="array" ref="G119">_xlfn.TAKE(xlFOCUS_ExpectativasAnuais("PIB Agropecuária",,$E119,WORKDAY($E119,1,Holidays),DATE(YEAR($E119),12,1),0,"Mediana"),-1)</f>
        <v>14.13</v>
      </c>
      <c r="H119" s="10">
        <f t="shared" ref="H119" si="8">G119-F119</f>
        <v>8.1300000000000008</v>
      </c>
    </row>
    <row r="125" spans="1:9" x14ac:dyDescent="0.2">
      <c r="F125" s="3" t="s">
        <v>24</v>
      </c>
      <c r="G125" s="3" t="s">
        <v>25</v>
      </c>
      <c r="H125" s="3" t="s">
        <v>16</v>
      </c>
      <c r="I125" s="3"/>
    </row>
    <row r="126" spans="1:9" x14ac:dyDescent="0.2">
      <c r="A126" s="3" t="s">
        <v>17</v>
      </c>
      <c r="B126" s="2" t="str">
        <f>"https://www3.bcb.gov.br/sgspub/consultarmetadados/consultarMetadadosSeries.do?method=consultarMetadadosSeriesInternet&amp;hdOidSerieSelecionada="&amp;B127</f>
        <v>https://www3.bcb.gov.br/sgspub/consultarmetadados/consultarMetadadosSeries.do?method=consultarMetadadosSeriesInternet&amp;hdOidSerieSelecionada=7329</v>
      </c>
      <c r="D126" s="2">
        <v>1998</v>
      </c>
      <c r="E126" s="5">
        <v>35796</v>
      </c>
      <c r="F126" s="7"/>
      <c r="G126" s="8"/>
    </row>
    <row r="127" spans="1:9" x14ac:dyDescent="0.2">
      <c r="A127" s="3" t="s">
        <v>2</v>
      </c>
      <c r="B127" s="4">
        <v>7329</v>
      </c>
      <c r="D127" s="2">
        <v>1999</v>
      </c>
      <c r="E127" s="5">
        <v>36161</v>
      </c>
      <c r="F127" s="7"/>
      <c r="G127" s="8"/>
    </row>
    <row r="128" spans="1:9" x14ac:dyDescent="0.2">
      <c r="A128" s="3" t="s">
        <v>10</v>
      </c>
      <c r="B128" s="6">
        <v>37257</v>
      </c>
      <c r="D128" s="2">
        <v>2000</v>
      </c>
      <c r="E128" s="5">
        <v>36526</v>
      </c>
      <c r="F128" s="7"/>
      <c r="G128" s="8"/>
      <c r="H128" s="10"/>
      <c r="I128" s="10"/>
    </row>
    <row r="129" spans="1:9" x14ac:dyDescent="0.2">
      <c r="A129" s="3" t="s">
        <v>11</v>
      </c>
      <c r="B129" s="6">
        <v>44927</v>
      </c>
      <c r="D129" s="2">
        <v>2001</v>
      </c>
      <c r="E129" s="5">
        <v>36892</v>
      </c>
      <c r="F129" s="9" cm="1">
        <f t="array" ref="F129">xlFOCUS_ExpectativasAnuais("PIB Serviços",,$E129,WORKDAY($E129,1,Holidays),WORKDAY($E129,1,Holidays),0,"Mediana")</f>
        <v>3.5</v>
      </c>
      <c r="G129" s="2" cm="1">
        <f t="array" ref="G129">xlFOCUS_SGS($B$127,$E129,$E129,$B$130)</f>
        <v>2.06</v>
      </c>
      <c r="H129" s="10">
        <f t="shared" ref="H129:H150" si="9">G129-F129</f>
        <v>-1.44</v>
      </c>
      <c r="I129" s="10"/>
    </row>
    <row r="130" spans="1:9" x14ac:dyDescent="0.2">
      <c r="A130" s="3" t="s">
        <v>18</v>
      </c>
      <c r="B130" s="4"/>
      <c r="D130" s="2">
        <v>2002</v>
      </c>
      <c r="E130" s="5">
        <v>37257</v>
      </c>
      <c r="F130" s="9" cm="1">
        <f t="array" ref="F130">xlFOCUS_ExpectativasAnuais("PIB Serviços",,$E130,WORKDAY($E130,1,Holidays),WORKDAY($E130,1,Holidays),0,"Mediana")</f>
        <v>2.2999999999999998</v>
      </c>
      <c r="G130" s="2" cm="1">
        <f t="array" ref="G130">xlFOCUS_SGS($B$127,$E130,$E130,$B$130)</f>
        <v>3.12</v>
      </c>
      <c r="H130" s="10">
        <f t="shared" si="9"/>
        <v>0.82000000000000028</v>
      </c>
      <c r="I130" s="10"/>
    </row>
    <row r="131" spans="1:9" x14ac:dyDescent="0.2">
      <c r="A131" s="3" t="s">
        <v>19</v>
      </c>
      <c r="B131" s="11"/>
      <c r="D131" s="2">
        <v>2003</v>
      </c>
      <c r="E131" s="5">
        <v>37622</v>
      </c>
      <c r="F131" s="9" cm="1">
        <f t="array" ref="F131">xlFOCUS_ExpectativasAnuais("PIB Serviços",,$E131,WORKDAY($E131,1,Holidays),WORKDAY($E131,1,Holidays),0,"Mediana")</f>
        <v>1.9</v>
      </c>
      <c r="G131" s="2" cm="1">
        <f t="array" ref="G131">xlFOCUS_SGS($B$127,$E131,$E131,$B$130)</f>
        <v>0.99</v>
      </c>
      <c r="H131" s="10">
        <f t="shared" si="9"/>
        <v>-0.90999999999999992</v>
      </c>
      <c r="I131" s="10"/>
    </row>
    <row r="132" spans="1:9" x14ac:dyDescent="0.2">
      <c r="D132" s="2">
        <v>2004</v>
      </c>
      <c r="E132" s="5">
        <v>37987</v>
      </c>
      <c r="F132" s="9" cm="1">
        <f t="array" ref="F132">xlFOCUS_ExpectativasAnuais("PIB Serviços",,$E132,WORKDAY($E132,1,Holidays),WORKDAY($E132,1,Holidays),0,"Mediana")</f>
        <v>2.5499999999999998</v>
      </c>
      <c r="G132" s="2" cm="1">
        <f t="array" ref="G132">xlFOCUS_SGS($B$127,$E132,$E132,$B$130)</f>
        <v>5.01</v>
      </c>
      <c r="H132" s="10">
        <f t="shared" si="9"/>
        <v>2.46</v>
      </c>
      <c r="I132" s="10"/>
    </row>
    <row r="133" spans="1:9" x14ac:dyDescent="0.2">
      <c r="D133" s="2">
        <v>2005</v>
      </c>
      <c r="E133" s="5">
        <v>38353</v>
      </c>
      <c r="F133" s="9" cm="1">
        <f t="array" ref="F133">xlFOCUS_ExpectativasAnuais("PIB Serviços",,$E133,WORKDAY($E133,1,Holidays),WORKDAY($E133,1,Holidays),0,"Mediana")</f>
        <v>2.8</v>
      </c>
      <c r="G133" s="2" cm="1">
        <f t="array" ref="G133">xlFOCUS_SGS($B$127,$E133,$E133,$B$130)</f>
        <v>3.66</v>
      </c>
      <c r="H133" s="10">
        <f t="shared" si="9"/>
        <v>0.86000000000000032</v>
      </c>
      <c r="I133" s="10"/>
    </row>
    <row r="134" spans="1:9" x14ac:dyDescent="0.2">
      <c r="D134" s="2">
        <v>2006</v>
      </c>
      <c r="E134" s="5">
        <v>38718</v>
      </c>
      <c r="F134" s="9" cm="1">
        <f t="array" ref="F134">xlFOCUS_ExpectativasAnuais("PIB Serviços",,$E134,WORKDAY($E134,1,Holidays),WORKDAY($E134,1,Holidays),0,"Mediana")</f>
        <v>2.7</v>
      </c>
      <c r="G134" s="2" cm="1">
        <f t="array" ref="G134">xlFOCUS_SGS($B$127,$E134,$E134,$B$130)</f>
        <v>4.33</v>
      </c>
      <c r="H134" s="10">
        <f t="shared" si="9"/>
        <v>1.63</v>
      </c>
      <c r="I134" s="10"/>
    </row>
    <row r="135" spans="1:9" x14ac:dyDescent="0.2">
      <c r="D135" s="2">
        <v>2007</v>
      </c>
      <c r="E135" s="5">
        <v>39083</v>
      </c>
      <c r="F135" s="9" cm="1">
        <f t="array" ref="F135">xlFOCUS_ExpectativasAnuais("PIB Serviços",,$E135,WORKDAY($E135,1,Holidays),WORKDAY($E135,1,Holidays),0,"Mediana")</f>
        <v>3</v>
      </c>
      <c r="G135" s="2" cm="1">
        <f t="array" ref="G135">xlFOCUS_SGS($B$127,$E135,$E135,$B$130)</f>
        <v>5.83</v>
      </c>
      <c r="H135" s="10">
        <f t="shared" si="9"/>
        <v>2.83</v>
      </c>
      <c r="I135" s="10"/>
    </row>
    <row r="136" spans="1:9" x14ac:dyDescent="0.2">
      <c r="D136" s="2">
        <v>2008</v>
      </c>
      <c r="E136" s="5">
        <v>39448</v>
      </c>
      <c r="F136" s="9" cm="1">
        <f t="array" ref="F136">xlFOCUS_ExpectativasAnuais("PIB Serviços",,$E136,WORKDAY($E136,1,Holidays),WORKDAY($E136,1,Holidays),0,"Mediana")</f>
        <v>4.3</v>
      </c>
      <c r="G136" s="2" cm="1">
        <f t="array" ref="G136">xlFOCUS_SGS($B$127,$E136,$E136,$B$130)</f>
        <v>4.82</v>
      </c>
      <c r="H136" s="10">
        <f t="shared" si="9"/>
        <v>0.52000000000000046</v>
      </c>
      <c r="I136" s="10"/>
    </row>
    <row r="137" spans="1:9" x14ac:dyDescent="0.2">
      <c r="D137" s="2">
        <v>2009</v>
      </c>
      <c r="E137" s="5">
        <v>39814</v>
      </c>
      <c r="F137" s="9" cm="1">
        <f t="array" ref="F137">xlFOCUS_ExpectativasAnuais("PIB Serviços",,$E137,WORKDAY($E137,1,Holidays),WORKDAY($E137,1,Holidays),0,"Mediana")</f>
        <v>2.5</v>
      </c>
      <c r="G137" s="2" cm="1">
        <f t="array" ref="G137">xlFOCUS_SGS($B$127,$E137,$E137,$B$130)</f>
        <v>2.0699999999999998</v>
      </c>
      <c r="H137" s="10">
        <f t="shared" si="9"/>
        <v>-0.43000000000000016</v>
      </c>
      <c r="I137" s="10"/>
    </row>
    <row r="138" spans="1:9" x14ac:dyDescent="0.2">
      <c r="D138" s="2">
        <v>2010</v>
      </c>
      <c r="E138" s="5">
        <v>40179</v>
      </c>
      <c r="F138" s="9" cm="1">
        <f t="array" ref="F138">xlFOCUS_ExpectativasAnuais("PIB Serviços",,$E138,WORKDAY($E138,1,Holidays),WORKDAY($E138,1,Holidays),0,"Mediana")</f>
        <v>4.4000000000000004</v>
      </c>
      <c r="G138" s="2" cm="1">
        <f t="array" ref="G138">xlFOCUS_SGS($B$127,$E138,$E138,$B$130)</f>
        <v>5.8</v>
      </c>
      <c r="H138" s="10">
        <f t="shared" si="9"/>
        <v>1.3999999999999995</v>
      </c>
      <c r="I138" s="10"/>
    </row>
    <row r="139" spans="1:9" x14ac:dyDescent="0.2">
      <c r="D139" s="2">
        <v>2011</v>
      </c>
      <c r="E139" s="5">
        <v>40544</v>
      </c>
      <c r="F139" s="9" cm="1">
        <f t="array" ref="F139">xlFOCUS_ExpectativasAnuais("PIB Serviços",,$E139,WORKDAY($E139,1,Holidays),WORKDAY($E139,1,Holidays),0,"Mediana")</f>
        <v>4.3899999999999997</v>
      </c>
      <c r="G139" s="2" cm="1">
        <f t="array" ref="G139">xlFOCUS_SGS($B$127,$E139,$E139,$B$130)</f>
        <v>3.46</v>
      </c>
      <c r="H139" s="10">
        <f t="shared" si="9"/>
        <v>-0.92999999999999972</v>
      </c>
      <c r="I139" s="10"/>
    </row>
    <row r="140" spans="1:9" x14ac:dyDescent="0.2">
      <c r="D140" s="2">
        <v>2012</v>
      </c>
      <c r="E140" s="5">
        <v>40909</v>
      </c>
      <c r="F140" s="9" cm="1">
        <f t="array" ref="F140">xlFOCUS_ExpectativasAnuais("PIB Serviços",,$E140,WORKDAY($E140,1,Holidays),WORKDAY($E140,1,Holidays),0,"Mediana")</f>
        <v>3.7</v>
      </c>
      <c r="G140" s="2" cm="1">
        <f t="array" ref="G140">xlFOCUS_SGS($B$127,$E140,$E140,$B$130)</f>
        <v>2.9</v>
      </c>
      <c r="H140" s="10">
        <f t="shared" si="9"/>
        <v>-0.80000000000000027</v>
      </c>
      <c r="I140" s="10"/>
    </row>
    <row r="141" spans="1:9" x14ac:dyDescent="0.2">
      <c r="D141" s="2">
        <v>2013</v>
      </c>
      <c r="E141" s="5">
        <v>41275</v>
      </c>
      <c r="F141" s="9" cm="1">
        <f t="array" ref="F141">xlFOCUS_ExpectativasAnuais("PIB Serviços",,$E141,WORKDAY($E141,1,Holidays),WORKDAY($E141,1,Holidays),0,"Mediana")</f>
        <v>3.5</v>
      </c>
      <c r="G141" s="2" cm="1">
        <f t="array" ref="G141">xlFOCUS_SGS($B$127,$E141,$E141,$B$130)</f>
        <v>2.75</v>
      </c>
      <c r="H141" s="10">
        <f t="shared" si="9"/>
        <v>-0.75</v>
      </c>
      <c r="I141" s="10"/>
    </row>
    <row r="142" spans="1:9" x14ac:dyDescent="0.2">
      <c r="D142" s="2">
        <v>2014</v>
      </c>
      <c r="E142" s="5">
        <v>41640</v>
      </c>
      <c r="F142" s="9" cm="1">
        <f t="array" ref="F142">xlFOCUS_ExpectativasAnuais("PIB Serviços",,$E142,WORKDAY($E142,1,Holidays),WORKDAY($E142,1,Holidays),0,"Mediana")</f>
        <v>2</v>
      </c>
      <c r="G142" s="2" cm="1">
        <f t="array" ref="G142">xlFOCUS_SGS($B$127,$E142,$E142,$B$130)</f>
        <v>0.99</v>
      </c>
      <c r="H142" s="10">
        <f t="shared" si="9"/>
        <v>-1.01</v>
      </c>
      <c r="I142" s="10"/>
    </row>
    <row r="143" spans="1:9" x14ac:dyDescent="0.2">
      <c r="D143" s="2">
        <v>2015</v>
      </c>
      <c r="E143" s="5">
        <v>42005</v>
      </c>
      <c r="F143" s="9" cm="1">
        <f t="array" ref="F143">xlFOCUS_ExpectativasAnuais("PIB Serviços",,$E143,WORKDAY($E143,1,Holidays),WORKDAY($E143,1,Holidays),0,"Mediana")</f>
        <v>0.71</v>
      </c>
      <c r="G143" s="2" cm="1">
        <f t="array" ref="G143">xlFOCUS_SGS($B$127,$E143,$E143,$B$130)</f>
        <v>-2.73</v>
      </c>
      <c r="H143" s="10">
        <f t="shared" si="9"/>
        <v>-3.44</v>
      </c>
      <c r="I143" s="10"/>
    </row>
    <row r="144" spans="1:9" x14ac:dyDescent="0.2">
      <c r="D144" s="2">
        <v>2016</v>
      </c>
      <c r="E144" s="5">
        <v>42370</v>
      </c>
      <c r="F144" s="9" cm="1">
        <f t="array" ref="F144">xlFOCUS_ExpectativasAnuais("PIB Serviços",,$E144,WORKDAY($E144,1,Holidays),WORKDAY($E144,1,Holidays),0,"Mediana")</f>
        <v>-2.2000000000000002</v>
      </c>
      <c r="G144" s="2" cm="1">
        <f t="array" ref="G144">xlFOCUS_SGS($B$127,$E144,$E144,$B$130)</f>
        <v>-2.2200000000000002</v>
      </c>
      <c r="H144" s="10">
        <f t="shared" si="9"/>
        <v>-2.0000000000000018E-2</v>
      </c>
      <c r="I144" s="10"/>
    </row>
    <row r="145" spans="4:9" x14ac:dyDescent="0.2">
      <c r="D145" s="2">
        <v>2017</v>
      </c>
      <c r="E145" s="5">
        <v>42736</v>
      </c>
      <c r="F145" s="9" cm="1">
        <f t="array" ref="F145">xlFOCUS_ExpectativasAnuais("PIB Serviços",,$E145,WORKDAY($E145,1,Holidays),WORKDAY($E145,1,Holidays),0,"Mediana")</f>
        <v>0</v>
      </c>
      <c r="G145" s="2" cm="1">
        <f t="array" ref="G145">xlFOCUS_SGS($B$127,$E145,$E145,$B$130)</f>
        <v>0.77</v>
      </c>
      <c r="H145" s="10">
        <f t="shared" si="9"/>
        <v>0.77</v>
      </c>
      <c r="I145" s="10"/>
    </row>
    <row r="146" spans="4:9" x14ac:dyDescent="0.2">
      <c r="D146" s="2">
        <v>2018</v>
      </c>
      <c r="E146" s="5">
        <v>43101</v>
      </c>
      <c r="F146" s="9" cm="1">
        <f t="array" ref="F146">xlFOCUS_ExpectativasAnuais("PIB Serviços",,$E146,WORKDAY($E146,1,Holidays),WORKDAY($E146,1,Holidays),0,"Mediana")</f>
        <v>2.4700000000000002</v>
      </c>
      <c r="G146" s="2" cm="1">
        <f t="array" ref="G146">xlFOCUS_SGS($B$127,$E146,$E146,$B$130)</f>
        <v>2.09</v>
      </c>
      <c r="H146" s="10">
        <f t="shared" si="9"/>
        <v>-0.38000000000000034</v>
      </c>
      <c r="I146" s="10"/>
    </row>
    <row r="147" spans="4:9" x14ac:dyDescent="0.2">
      <c r="D147" s="2">
        <v>2019</v>
      </c>
      <c r="E147" s="5">
        <v>43466</v>
      </c>
      <c r="F147" s="9" cm="1">
        <f t="array" ref="F147">xlFOCUS_ExpectativasAnuais("PIB Serviços",,$E147,WORKDAY($E147,1,Holidays),WORKDAY($E147,1,Holidays),0,"Mediana")</f>
        <v>2.2000000000000002</v>
      </c>
      <c r="G147" s="2" cm="1">
        <f t="array" ref="G147">xlFOCUS_SGS($B$127,$E147,$E147,$B$130)</f>
        <v>1.51</v>
      </c>
      <c r="H147" s="10">
        <f t="shared" si="9"/>
        <v>-0.69000000000000017</v>
      </c>
      <c r="I147" s="10"/>
    </row>
    <row r="148" spans="4:9" x14ac:dyDescent="0.2">
      <c r="D148" s="2">
        <v>2020</v>
      </c>
      <c r="E148" s="5">
        <v>43831</v>
      </c>
      <c r="F148" s="9" cm="1">
        <f t="array" ref="F148">xlFOCUS_ExpectativasAnuais("PIB Serviços",,$E148,WORKDAY($E148,1,Holidays),WORKDAY($E148,1,Holidays),0,"Mediana")</f>
        <v>2.1</v>
      </c>
      <c r="G148" s="2" cm="1">
        <f t="array" ref="G148">xlFOCUS_SGS($B$127,$E148,$E148,$B$130)</f>
        <v>-3.74</v>
      </c>
      <c r="H148" s="10">
        <f t="shared" si="9"/>
        <v>-5.84</v>
      </c>
      <c r="I148" s="10"/>
    </row>
    <row r="149" spans="4:9" x14ac:dyDescent="0.2">
      <c r="D149" s="2">
        <v>2021</v>
      </c>
      <c r="E149" s="5">
        <v>44197</v>
      </c>
      <c r="F149" s="9" cm="1">
        <f t="array" ref="F149">xlFOCUS_ExpectativasAnuais("PIB Serviços",,$E149,WORKDAY($E149,1,Holidays),WORKDAY($E149,1,Holidays),0,"Mediana")</f>
        <v>3.3</v>
      </c>
      <c r="G149" s="2" cm="1">
        <f t="array" ref="G149">xlFOCUS_SGS($B$127,$E149,$E149,$B$130)</f>
        <v>5.22</v>
      </c>
      <c r="H149" s="10">
        <f t="shared" si="9"/>
        <v>1.92</v>
      </c>
      <c r="I149" s="10"/>
    </row>
    <row r="150" spans="4:9" x14ac:dyDescent="0.2">
      <c r="D150" s="2">
        <v>2022</v>
      </c>
      <c r="E150" s="5">
        <v>44562</v>
      </c>
      <c r="F150" s="9" cm="1">
        <f t="array" ref="F150">xlFOCUS_ExpectativasAnuais("PIB Serviços",,$E150,WORKDAY($E150,1,Holidays),WORKDAY($E150,1,Holidays),0,"Mediana")</f>
        <v>0.3</v>
      </c>
      <c r="G150" s="2" cm="1">
        <f t="array" ref="G150">xlFOCUS_SGS($B$127,$E150,$E150,$B$130)</f>
        <v>4.16</v>
      </c>
      <c r="H150" s="10">
        <f t="shared" si="9"/>
        <v>3.8600000000000003</v>
      </c>
      <c r="I150" s="10"/>
    </row>
    <row r="151" spans="4:9" x14ac:dyDescent="0.2">
      <c r="D151" s="2">
        <v>2023</v>
      </c>
      <c r="E151" s="5">
        <v>44927</v>
      </c>
      <c r="F151" s="7" cm="1">
        <f t="array" ref="F151">xlFOCUS_ExpectativasAnuais("PIB Serviços",,$E151,WORKDAY($E151,1,Holidays),WORKDAY($E151,1,Holidays),0,"Mediana")</f>
        <v>0.80420000000000003</v>
      </c>
      <c r="G151" s="8" cm="1">
        <f t="array" ref="G151">_xlfn.TAKE(xlFOCUS_ExpectativasAnuais("PIB Serviços",,$E151,WORKDAY($E151,1,Holidays),DATE(YEAR($E151),12,1),0,"Mediana"),-1)</f>
        <v>2.1</v>
      </c>
      <c r="H151" s="10">
        <f t="shared" ref="H151" si="10">G151-F151</f>
        <v>1.2958000000000001</v>
      </c>
    </row>
  </sheetData>
  <dataConsolidate link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6BDCF-8C35-4327-8A22-979471E19406}">
  <sheetPr codeName="Planilha1"/>
  <dimension ref="A1:C946"/>
  <sheetViews>
    <sheetView topLeftCell="A2" workbookViewId="0">
      <selection activeCell="E9" sqref="E9"/>
    </sheetView>
  </sheetViews>
  <sheetFormatPr defaultRowHeight="12.75" x14ac:dyDescent="0.2"/>
  <cols>
    <col min="1" max="1" width="11.28515625" style="15" customWidth="1"/>
    <col min="2" max="2" width="18" style="15" customWidth="1"/>
    <col min="3" max="3" width="45.140625" style="15" customWidth="1"/>
    <col min="4" max="256" width="8.85546875" style="15"/>
    <col min="257" max="257" width="11.28515625" style="15" customWidth="1"/>
    <col min="258" max="258" width="18" style="15" customWidth="1"/>
    <col min="259" max="259" width="45.140625" style="15" customWidth="1"/>
    <col min="260" max="512" width="8.85546875" style="15"/>
    <col min="513" max="513" width="11.28515625" style="15" customWidth="1"/>
    <col min="514" max="514" width="18" style="15" customWidth="1"/>
    <col min="515" max="515" width="45.140625" style="15" customWidth="1"/>
    <col min="516" max="768" width="8.85546875" style="15"/>
    <col min="769" max="769" width="11.28515625" style="15" customWidth="1"/>
    <col min="770" max="770" width="18" style="15" customWidth="1"/>
    <col min="771" max="771" width="45.140625" style="15" customWidth="1"/>
    <col min="772" max="1024" width="8.85546875" style="15"/>
    <col min="1025" max="1025" width="11.28515625" style="15" customWidth="1"/>
    <col min="1026" max="1026" width="18" style="15" customWidth="1"/>
    <col min="1027" max="1027" width="45.140625" style="15" customWidth="1"/>
    <col min="1028" max="1280" width="8.85546875" style="15"/>
    <col min="1281" max="1281" width="11.28515625" style="15" customWidth="1"/>
    <col min="1282" max="1282" width="18" style="15" customWidth="1"/>
    <col min="1283" max="1283" width="45.140625" style="15" customWidth="1"/>
    <col min="1284" max="1536" width="8.85546875" style="15"/>
    <col min="1537" max="1537" width="11.28515625" style="15" customWidth="1"/>
    <col min="1538" max="1538" width="18" style="15" customWidth="1"/>
    <col min="1539" max="1539" width="45.140625" style="15" customWidth="1"/>
    <col min="1540" max="1792" width="8.85546875" style="15"/>
    <col min="1793" max="1793" width="11.28515625" style="15" customWidth="1"/>
    <col min="1794" max="1794" width="18" style="15" customWidth="1"/>
    <col min="1795" max="1795" width="45.140625" style="15" customWidth="1"/>
    <col min="1796" max="2048" width="8.85546875" style="15"/>
    <col min="2049" max="2049" width="11.28515625" style="15" customWidth="1"/>
    <col min="2050" max="2050" width="18" style="15" customWidth="1"/>
    <col min="2051" max="2051" width="45.140625" style="15" customWidth="1"/>
    <col min="2052" max="2304" width="8.85546875" style="15"/>
    <col min="2305" max="2305" width="11.28515625" style="15" customWidth="1"/>
    <col min="2306" max="2306" width="18" style="15" customWidth="1"/>
    <col min="2307" max="2307" width="45.140625" style="15" customWidth="1"/>
    <col min="2308" max="2560" width="8.85546875" style="15"/>
    <col min="2561" max="2561" width="11.28515625" style="15" customWidth="1"/>
    <col min="2562" max="2562" width="18" style="15" customWidth="1"/>
    <col min="2563" max="2563" width="45.140625" style="15" customWidth="1"/>
    <col min="2564" max="2816" width="8.85546875" style="15"/>
    <col min="2817" max="2817" width="11.28515625" style="15" customWidth="1"/>
    <col min="2818" max="2818" width="18" style="15" customWidth="1"/>
    <col min="2819" max="2819" width="45.140625" style="15" customWidth="1"/>
    <col min="2820" max="3072" width="8.85546875" style="15"/>
    <col min="3073" max="3073" width="11.28515625" style="15" customWidth="1"/>
    <col min="3074" max="3074" width="18" style="15" customWidth="1"/>
    <col min="3075" max="3075" width="45.140625" style="15" customWidth="1"/>
    <col min="3076" max="3328" width="8.85546875" style="15"/>
    <col min="3329" max="3329" width="11.28515625" style="15" customWidth="1"/>
    <col min="3330" max="3330" width="18" style="15" customWidth="1"/>
    <col min="3331" max="3331" width="45.140625" style="15" customWidth="1"/>
    <col min="3332" max="3584" width="8.85546875" style="15"/>
    <col min="3585" max="3585" width="11.28515625" style="15" customWidth="1"/>
    <col min="3586" max="3586" width="18" style="15" customWidth="1"/>
    <col min="3587" max="3587" width="45.140625" style="15" customWidth="1"/>
    <col min="3588" max="3840" width="8.85546875" style="15"/>
    <col min="3841" max="3841" width="11.28515625" style="15" customWidth="1"/>
    <col min="3842" max="3842" width="18" style="15" customWidth="1"/>
    <col min="3843" max="3843" width="45.140625" style="15" customWidth="1"/>
    <col min="3844" max="4096" width="8.85546875" style="15"/>
    <col min="4097" max="4097" width="11.28515625" style="15" customWidth="1"/>
    <col min="4098" max="4098" width="18" style="15" customWidth="1"/>
    <col min="4099" max="4099" width="45.140625" style="15" customWidth="1"/>
    <col min="4100" max="4352" width="8.85546875" style="15"/>
    <col min="4353" max="4353" width="11.28515625" style="15" customWidth="1"/>
    <col min="4354" max="4354" width="18" style="15" customWidth="1"/>
    <col min="4355" max="4355" width="45.140625" style="15" customWidth="1"/>
    <col min="4356" max="4608" width="8.85546875" style="15"/>
    <col min="4609" max="4609" width="11.28515625" style="15" customWidth="1"/>
    <col min="4610" max="4610" width="18" style="15" customWidth="1"/>
    <col min="4611" max="4611" width="45.140625" style="15" customWidth="1"/>
    <col min="4612" max="4864" width="8.85546875" style="15"/>
    <col min="4865" max="4865" width="11.28515625" style="15" customWidth="1"/>
    <col min="4866" max="4866" width="18" style="15" customWidth="1"/>
    <col min="4867" max="4867" width="45.140625" style="15" customWidth="1"/>
    <col min="4868" max="5120" width="8.85546875" style="15"/>
    <col min="5121" max="5121" width="11.28515625" style="15" customWidth="1"/>
    <col min="5122" max="5122" width="18" style="15" customWidth="1"/>
    <col min="5123" max="5123" width="45.140625" style="15" customWidth="1"/>
    <col min="5124" max="5376" width="8.85546875" style="15"/>
    <col min="5377" max="5377" width="11.28515625" style="15" customWidth="1"/>
    <col min="5378" max="5378" width="18" style="15" customWidth="1"/>
    <col min="5379" max="5379" width="45.140625" style="15" customWidth="1"/>
    <col min="5380" max="5632" width="8.85546875" style="15"/>
    <col min="5633" max="5633" width="11.28515625" style="15" customWidth="1"/>
    <col min="5634" max="5634" width="18" style="15" customWidth="1"/>
    <col min="5635" max="5635" width="45.140625" style="15" customWidth="1"/>
    <col min="5636" max="5888" width="8.85546875" style="15"/>
    <col min="5889" max="5889" width="11.28515625" style="15" customWidth="1"/>
    <col min="5890" max="5890" width="18" style="15" customWidth="1"/>
    <col min="5891" max="5891" width="45.140625" style="15" customWidth="1"/>
    <col min="5892" max="6144" width="8.85546875" style="15"/>
    <col min="6145" max="6145" width="11.28515625" style="15" customWidth="1"/>
    <col min="6146" max="6146" width="18" style="15" customWidth="1"/>
    <col min="6147" max="6147" width="45.140625" style="15" customWidth="1"/>
    <col min="6148" max="6400" width="8.85546875" style="15"/>
    <col min="6401" max="6401" width="11.28515625" style="15" customWidth="1"/>
    <col min="6402" max="6402" width="18" style="15" customWidth="1"/>
    <col min="6403" max="6403" width="45.140625" style="15" customWidth="1"/>
    <col min="6404" max="6656" width="8.85546875" style="15"/>
    <col min="6657" max="6657" width="11.28515625" style="15" customWidth="1"/>
    <col min="6658" max="6658" width="18" style="15" customWidth="1"/>
    <col min="6659" max="6659" width="45.140625" style="15" customWidth="1"/>
    <col min="6660" max="6912" width="8.85546875" style="15"/>
    <col min="6913" max="6913" width="11.28515625" style="15" customWidth="1"/>
    <col min="6914" max="6914" width="18" style="15" customWidth="1"/>
    <col min="6915" max="6915" width="45.140625" style="15" customWidth="1"/>
    <col min="6916" max="7168" width="8.85546875" style="15"/>
    <col min="7169" max="7169" width="11.28515625" style="15" customWidth="1"/>
    <col min="7170" max="7170" width="18" style="15" customWidth="1"/>
    <col min="7171" max="7171" width="45.140625" style="15" customWidth="1"/>
    <col min="7172" max="7424" width="8.85546875" style="15"/>
    <col min="7425" max="7425" width="11.28515625" style="15" customWidth="1"/>
    <col min="7426" max="7426" width="18" style="15" customWidth="1"/>
    <col min="7427" max="7427" width="45.140625" style="15" customWidth="1"/>
    <col min="7428" max="7680" width="8.85546875" style="15"/>
    <col min="7681" max="7681" width="11.28515625" style="15" customWidth="1"/>
    <col min="7682" max="7682" width="18" style="15" customWidth="1"/>
    <col min="7683" max="7683" width="45.140625" style="15" customWidth="1"/>
    <col min="7684" max="7936" width="8.85546875" style="15"/>
    <col min="7937" max="7937" width="11.28515625" style="15" customWidth="1"/>
    <col min="7938" max="7938" width="18" style="15" customWidth="1"/>
    <col min="7939" max="7939" width="45.140625" style="15" customWidth="1"/>
    <col min="7940" max="8192" width="8.85546875" style="15"/>
    <col min="8193" max="8193" width="11.28515625" style="15" customWidth="1"/>
    <col min="8194" max="8194" width="18" style="15" customWidth="1"/>
    <col min="8195" max="8195" width="45.140625" style="15" customWidth="1"/>
    <col min="8196" max="8448" width="8.85546875" style="15"/>
    <col min="8449" max="8449" width="11.28515625" style="15" customWidth="1"/>
    <col min="8450" max="8450" width="18" style="15" customWidth="1"/>
    <col min="8451" max="8451" width="45.140625" style="15" customWidth="1"/>
    <col min="8452" max="8704" width="8.85546875" style="15"/>
    <col min="8705" max="8705" width="11.28515625" style="15" customWidth="1"/>
    <col min="8706" max="8706" width="18" style="15" customWidth="1"/>
    <col min="8707" max="8707" width="45.140625" style="15" customWidth="1"/>
    <col min="8708" max="8960" width="8.85546875" style="15"/>
    <col min="8961" max="8961" width="11.28515625" style="15" customWidth="1"/>
    <col min="8962" max="8962" width="18" style="15" customWidth="1"/>
    <col min="8963" max="8963" width="45.140625" style="15" customWidth="1"/>
    <col min="8964" max="9216" width="8.85546875" style="15"/>
    <col min="9217" max="9217" width="11.28515625" style="15" customWidth="1"/>
    <col min="9218" max="9218" width="18" style="15" customWidth="1"/>
    <col min="9219" max="9219" width="45.140625" style="15" customWidth="1"/>
    <col min="9220" max="9472" width="8.85546875" style="15"/>
    <col min="9473" max="9473" width="11.28515625" style="15" customWidth="1"/>
    <col min="9474" max="9474" width="18" style="15" customWidth="1"/>
    <col min="9475" max="9475" width="45.140625" style="15" customWidth="1"/>
    <col min="9476" max="9728" width="8.85546875" style="15"/>
    <col min="9729" max="9729" width="11.28515625" style="15" customWidth="1"/>
    <col min="9730" max="9730" width="18" style="15" customWidth="1"/>
    <col min="9731" max="9731" width="45.140625" style="15" customWidth="1"/>
    <col min="9732" max="9984" width="8.85546875" style="15"/>
    <col min="9985" max="9985" width="11.28515625" style="15" customWidth="1"/>
    <col min="9986" max="9986" width="18" style="15" customWidth="1"/>
    <col min="9987" max="9987" width="45.140625" style="15" customWidth="1"/>
    <col min="9988" max="10240" width="8.85546875" style="15"/>
    <col min="10241" max="10241" width="11.28515625" style="15" customWidth="1"/>
    <col min="10242" max="10242" width="18" style="15" customWidth="1"/>
    <col min="10243" max="10243" width="45.140625" style="15" customWidth="1"/>
    <col min="10244" max="10496" width="8.85546875" style="15"/>
    <col min="10497" max="10497" width="11.28515625" style="15" customWidth="1"/>
    <col min="10498" max="10498" width="18" style="15" customWidth="1"/>
    <col min="10499" max="10499" width="45.140625" style="15" customWidth="1"/>
    <col min="10500" max="10752" width="8.85546875" style="15"/>
    <col min="10753" max="10753" width="11.28515625" style="15" customWidth="1"/>
    <col min="10754" max="10754" width="18" style="15" customWidth="1"/>
    <col min="10755" max="10755" width="45.140625" style="15" customWidth="1"/>
    <col min="10756" max="11008" width="8.85546875" style="15"/>
    <col min="11009" max="11009" width="11.28515625" style="15" customWidth="1"/>
    <col min="11010" max="11010" width="18" style="15" customWidth="1"/>
    <col min="11011" max="11011" width="45.140625" style="15" customWidth="1"/>
    <col min="11012" max="11264" width="8.85546875" style="15"/>
    <col min="11265" max="11265" width="11.28515625" style="15" customWidth="1"/>
    <col min="11266" max="11266" width="18" style="15" customWidth="1"/>
    <col min="11267" max="11267" width="45.140625" style="15" customWidth="1"/>
    <col min="11268" max="11520" width="8.85546875" style="15"/>
    <col min="11521" max="11521" width="11.28515625" style="15" customWidth="1"/>
    <col min="11522" max="11522" width="18" style="15" customWidth="1"/>
    <col min="11523" max="11523" width="45.140625" style="15" customWidth="1"/>
    <col min="11524" max="11776" width="8.85546875" style="15"/>
    <col min="11777" max="11777" width="11.28515625" style="15" customWidth="1"/>
    <col min="11778" max="11778" width="18" style="15" customWidth="1"/>
    <col min="11779" max="11779" width="45.140625" style="15" customWidth="1"/>
    <col min="11780" max="12032" width="8.85546875" style="15"/>
    <col min="12033" max="12033" width="11.28515625" style="15" customWidth="1"/>
    <col min="12034" max="12034" width="18" style="15" customWidth="1"/>
    <col min="12035" max="12035" width="45.140625" style="15" customWidth="1"/>
    <col min="12036" max="12288" width="8.85546875" style="15"/>
    <col min="12289" max="12289" width="11.28515625" style="15" customWidth="1"/>
    <col min="12290" max="12290" width="18" style="15" customWidth="1"/>
    <col min="12291" max="12291" width="45.140625" style="15" customWidth="1"/>
    <col min="12292" max="12544" width="8.85546875" style="15"/>
    <col min="12545" max="12545" width="11.28515625" style="15" customWidth="1"/>
    <col min="12546" max="12546" width="18" style="15" customWidth="1"/>
    <col min="12547" max="12547" width="45.140625" style="15" customWidth="1"/>
    <col min="12548" max="12800" width="8.85546875" style="15"/>
    <col min="12801" max="12801" width="11.28515625" style="15" customWidth="1"/>
    <col min="12802" max="12802" width="18" style="15" customWidth="1"/>
    <col min="12803" max="12803" width="45.140625" style="15" customWidth="1"/>
    <col min="12804" max="13056" width="8.85546875" style="15"/>
    <col min="13057" max="13057" width="11.28515625" style="15" customWidth="1"/>
    <col min="13058" max="13058" width="18" style="15" customWidth="1"/>
    <col min="13059" max="13059" width="45.140625" style="15" customWidth="1"/>
    <col min="13060" max="13312" width="8.85546875" style="15"/>
    <col min="13313" max="13313" width="11.28515625" style="15" customWidth="1"/>
    <col min="13314" max="13314" width="18" style="15" customWidth="1"/>
    <col min="13315" max="13315" width="45.140625" style="15" customWidth="1"/>
    <col min="13316" max="13568" width="8.85546875" style="15"/>
    <col min="13569" max="13569" width="11.28515625" style="15" customWidth="1"/>
    <col min="13570" max="13570" width="18" style="15" customWidth="1"/>
    <col min="13571" max="13571" width="45.140625" style="15" customWidth="1"/>
    <col min="13572" max="13824" width="8.85546875" style="15"/>
    <col min="13825" max="13825" width="11.28515625" style="15" customWidth="1"/>
    <col min="13826" max="13826" width="18" style="15" customWidth="1"/>
    <col min="13827" max="13827" width="45.140625" style="15" customWidth="1"/>
    <col min="13828" max="14080" width="8.85546875" style="15"/>
    <col min="14081" max="14081" width="11.28515625" style="15" customWidth="1"/>
    <col min="14082" max="14082" width="18" style="15" customWidth="1"/>
    <col min="14083" max="14083" width="45.140625" style="15" customWidth="1"/>
    <col min="14084" max="14336" width="8.85546875" style="15"/>
    <col min="14337" max="14337" width="11.28515625" style="15" customWidth="1"/>
    <col min="14338" max="14338" width="18" style="15" customWidth="1"/>
    <col min="14339" max="14339" width="45.140625" style="15" customWidth="1"/>
    <col min="14340" max="14592" width="8.85546875" style="15"/>
    <col min="14593" max="14593" width="11.28515625" style="15" customWidth="1"/>
    <col min="14594" max="14594" width="18" style="15" customWidth="1"/>
    <col min="14595" max="14595" width="45.140625" style="15" customWidth="1"/>
    <col min="14596" max="14848" width="8.85546875" style="15"/>
    <col min="14849" max="14849" width="11.28515625" style="15" customWidth="1"/>
    <col min="14850" max="14850" width="18" style="15" customWidth="1"/>
    <col min="14851" max="14851" width="45.140625" style="15" customWidth="1"/>
    <col min="14852" max="15104" width="8.85546875" style="15"/>
    <col min="15105" max="15105" width="11.28515625" style="15" customWidth="1"/>
    <col min="15106" max="15106" width="18" style="15" customWidth="1"/>
    <col min="15107" max="15107" width="45.140625" style="15" customWidth="1"/>
    <col min="15108" max="15360" width="8.85546875" style="15"/>
    <col min="15361" max="15361" width="11.28515625" style="15" customWidth="1"/>
    <col min="15362" max="15362" width="18" style="15" customWidth="1"/>
    <col min="15363" max="15363" width="45.140625" style="15" customWidth="1"/>
    <col min="15364" max="15616" width="8.85546875" style="15"/>
    <col min="15617" max="15617" width="11.28515625" style="15" customWidth="1"/>
    <col min="15618" max="15618" width="18" style="15" customWidth="1"/>
    <col min="15619" max="15619" width="45.140625" style="15" customWidth="1"/>
    <col min="15620" max="15872" width="8.85546875" style="15"/>
    <col min="15873" max="15873" width="11.28515625" style="15" customWidth="1"/>
    <col min="15874" max="15874" width="18" style="15" customWidth="1"/>
    <col min="15875" max="15875" width="45.140625" style="15" customWidth="1"/>
    <col min="15876" max="16128" width="8.85546875" style="15"/>
    <col min="16129" max="16129" width="11.28515625" style="15" customWidth="1"/>
    <col min="16130" max="16130" width="18" style="15" customWidth="1"/>
    <col min="16131" max="16131" width="45.140625" style="15" customWidth="1"/>
    <col min="16132" max="16384" width="8.85546875" style="15"/>
  </cols>
  <sheetData>
    <row r="1" spans="1:3" ht="13.5" thickBot="1" x14ac:dyDescent="0.25">
      <c r="A1" s="12" t="s">
        <v>4</v>
      </c>
      <c r="B1" s="13" t="s">
        <v>29</v>
      </c>
      <c r="C1" s="14" t="s">
        <v>30</v>
      </c>
    </row>
    <row r="2" spans="1:3" ht="13.5" thickBot="1" x14ac:dyDescent="0.25">
      <c r="A2" s="16">
        <v>36892</v>
      </c>
      <c r="B2" s="17" t="s">
        <v>31</v>
      </c>
      <c r="C2" s="18" t="s">
        <v>32</v>
      </c>
    </row>
    <row r="3" spans="1:3" ht="13.5" thickBot="1" x14ac:dyDescent="0.25">
      <c r="A3" s="16">
        <v>36948</v>
      </c>
      <c r="B3" s="17" t="s">
        <v>31</v>
      </c>
      <c r="C3" s="18" t="s">
        <v>33</v>
      </c>
    </row>
    <row r="4" spans="1:3" ht="13.5" thickBot="1" x14ac:dyDescent="0.25">
      <c r="A4" s="16">
        <v>36949</v>
      </c>
      <c r="B4" s="17" t="s">
        <v>34</v>
      </c>
      <c r="C4" s="18" t="s">
        <v>33</v>
      </c>
    </row>
    <row r="5" spans="1:3" ht="13.5" thickBot="1" x14ac:dyDescent="0.25">
      <c r="A5" s="16">
        <v>36994</v>
      </c>
      <c r="B5" s="17" t="s">
        <v>35</v>
      </c>
      <c r="C5" s="18" t="s">
        <v>36</v>
      </c>
    </row>
    <row r="6" spans="1:3" ht="13.5" thickBot="1" x14ac:dyDescent="0.25">
      <c r="A6" s="16">
        <v>37002</v>
      </c>
      <c r="B6" s="17" t="s">
        <v>37</v>
      </c>
      <c r="C6" s="18" t="s">
        <v>38</v>
      </c>
    </row>
    <row r="7" spans="1:3" ht="13.5" thickBot="1" x14ac:dyDescent="0.25">
      <c r="A7" s="16">
        <v>37012</v>
      </c>
      <c r="B7" s="17" t="s">
        <v>34</v>
      </c>
      <c r="C7" s="18" t="s">
        <v>39</v>
      </c>
    </row>
    <row r="8" spans="1:3" ht="13.5" thickBot="1" x14ac:dyDescent="0.25">
      <c r="A8" s="16">
        <v>37056</v>
      </c>
      <c r="B8" s="17" t="s">
        <v>40</v>
      </c>
      <c r="C8" s="18" t="s">
        <v>41</v>
      </c>
    </row>
    <row r="9" spans="1:3" ht="13.5" thickBot="1" x14ac:dyDescent="0.25">
      <c r="A9" s="16">
        <v>37141</v>
      </c>
      <c r="B9" s="17" t="s">
        <v>35</v>
      </c>
      <c r="C9" s="18" t="s">
        <v>42</v>
      </c>
    </row>
    <row r="10" spans="1:3" ht="14.25" thickBot="1" x14ac:dyDescent="0.25">
      <c r="A10" s="16">
        <v>37176</v>
      </c>
      <c r="B10" s="17" t="s">
        <v>35</v>
      </c>
      <c r="C10" s="18" t="s">
        <v>43</v>
      </c>
    </row>
    <row r="11" spans="1:3" ht="13.5" thickBot="1" x14ac:dyDescent="0.25">
      <c r="A11" s="16">
        <v>37197</v>
      </c>
      <c r="B11" s="17" t="s">
        <v>35</v>
      </c>
      <c r="C11" s="18" t="s">
        <v>44</v>
      </c>
    </row>
    <row r="12" spans="1:3" ht="13.5" thickBot="1" x14ac:dyDescent="0.25">
      <c r="A12" s="16">
        <v>37210</v>
      </c>
      <c r="B12" s="17" t="s">
        <v>40</v>
      </c>
      <c r="C12" s="18" t="s">
        <v>45</v>
      </c>
    </row>
    <row r="13" spans="1:3" ht="13.5" thickBot="1" x14ac:dyDescent="0.25">
      <c r="A13" s="16">
        <v>37250</v>
      </c>
      <c r="B13" s="17" t="s">
        <v>34</v>
      </c>
      <c r="C13" s="18" t="s">
        <v>46</v>
      </c>
    </row>
    <row r="14" spans="1:3" ht="13.5" thickBot="1" x14ac:dyDescent="0.25">
      <c r="A14" s="19">
        <v>37257</v>
      </c>
      <c r="B14" s="20" t="s">
        <v>34</v>
      </c>
      <c r="C14" s="21" t="s">
        <v>32</v>
      </c>
    </row>
    <row r="15" spans="1:3" ht="13.5" thickBot="1" x14ac:dyDescent="0.25">
      <c r="A15" s="22">
        <v>37298</v>
      </c>
      <c r="B15" s="23" t="s">
        <v>31</v>
      </c>
      <c r="C15" s="24" t="s">
        <v>33</v>
      </c>
    </row>
    <row r="16" spans="1:3" ht="13.5" thickBot="1" x14ac:dyDescent="0.25">
      <c r="A16" s="22">
        <v>37299</v>
      </c>
      <c r="B16" s="23" t="s">
        <v>34</v>
      </c>
      <c r="C16" s="24" t="s">
        <v>33</v>
      </c>
    </row>
    <row r="17" spans="1:3" ht="13.5" thickBot="1" x14ac:dyDescent="0.25">
      <c r="A17" s="22">
        <v>37344</v>
      </c>
      <c r="B17" s="23" t="s">
        <v>35</v>
      </c>
      <c r="C17" s="24" t="s">
        <v>36</v>
      </c>
    </row>
    <row r="18" spans="1:3" ht="13.5" thickBot="1" x14ac:dyDescent="0.25">
      <c r="A18" s="22">
        <v>37367</v>
      </c>
      <c r="B18" s="23" t="s">
        <v>47</v>
      </c>
      <c r="C18" s="24" t="s">
        <v>38</v>
      </c>
    </row>
    <row r="19" spans="1:3" ht="13.5" thickBot="1" x14ac:dyDescent="0.25">
      <c r="A19" s="22">
        <v>37377</v>
      </c>
      <c r="B19" s="23" t="s">
        <v>48</v>
      </c>
      <c r="C19" s="24" t="s">
        <v>39</v>
      </c>
    </row>
    <row r="20" spans="1:3" ht="13.5" thickBot="1" x14ac:dyDescent="0.25">
      <c r="A20" s="22">
        <v>37406</v>
      </c>
      <c r="B20" s="23" t="s">
        <v>40</v>
      </c>
      <c r="C20" s="24" t="s">
        <v>41</v>
      </c>
    </row>
    <row r="21" spans="1:3" ht="13.5" thickBot="1" x14ac:dyDescent="0.25">
      <c r="A21" s="22">
        <v>37506</v>
      </c>
      <c r="B21" s="23" t="s">
        <v>37</v>
      </c>
      <c r="C21" s="24" t="s">
        <v>42</v>
      </c>
    </row>
    <row r="22" spans="1:3" ht="14.25" thickBot="1" x14ac:dyDescent="0.25">
      <c r="A22" s="22">
        <v>37541</v>
      </c>
      <c r="B22" s="23" t="s">
        <v>37</v>
      </c>
      <c r="C22" s="24" t="s">
        <v>43</v>
      </c>
    </row>
    <row r="23" spans="1:3" ht="13.5" thickBot="1" x14ac:dyDescent="0.25">
      <c r="A23" s="22">
        <v>37562</v>
      </c>
      <c r="B23" s="23" t="s">
        <v>37</v>
      </c>
      <c r="C23" s="24" t="s">
        <v>44</v>
      </c>
    </row>
    <row r="24" spans="1:3" ht="13.5" thickBot="1" x14ac:dyDescent="0.25">
      <c r="A24" s="22">
        <v>37575</v>
      </c>
      <c r="B24" s="23" t="s">
        <v>35</v>
      </c>
      <c r="C24" s="24" t="s">
        <v>45</v>
      </c>
    </row>
    <row r="25" spans="1:3" ht="13.5" thickBot="1" x14ac:dyDescent="0.25">
      <c r="A25" s="22">
        <v>37615</v>
      </c>
      <c r="B25" s="23" t="s">
        <v>48</v>
      </c>
      <c r="C25" s="24" t="s">
        <v>46</v>
      </c>
    </row>
    <row r="26" spans="1:3" ht="13.5" thickBot="1" x14ac:dyDescent="0.25">
      <c r="A26" s="25">
        <v>37622</v>
      </c>
      <c r="B26" s="26" t="s">
        <v>48</v>
      </c>
      <c r="C26" s="27" t="s">
        <v>32</v>
      </c>
    </row>
    <row r="27" spans="1:3" ht="13.5" thickBot="1" x14ac:dyDescent="0.25">
      <c r="A27" s="16">
        <v>37683</v>
      </c>
      <c r="B27" s="17" t="s">
        <v>31</v>
      </c>
      <c r="C27" s="18" t="s">
        <v>33</v>
      </c>
    </row>
    <row r="28" spans="1:3" ht="13.5" thickBot="1" x14ac:dyDescent="0.25">
      <c r="A28" s="16">
        <v>37684</v>
      </c>
      <c r="B28" s="17" t="s">
        <v>34</v>
      </c>
      <c r="C28" s="18" t="s">
        <v>33</v>
      </c>
    </row>
    <row r="29" spans="1:3" ht="13.5" thickBot="1" x14ac:dyDescent="0.25">
      <c r="A29" s="16">
        <v>37729</v>
      </c>
      <c r="B29" s="17" t="s">
        <v>35</v>
      </c>
      <c r="C29" s="18" t="s">
        <v>36</v>
      </c>
    </row>
    <row r="30" spans="1:3" ht="13.5" thickBot="1" x14ac:dyDescent="0.25">
      <c r="A30" s="16">
        <v>37732</v>
      </c>
      <c r="B30" s="17" t="s">
        <v>31</v>
      </c>
      <c r="C30" s="18" t="s">
        <v>38</v>
      </c>
    </row>
    <row r="31" spans="1:3" ht="13.5" thickBot="1" x14ac:dyDescent="0.25">
      <c r="A31" s="16">
        <v>37742</v>
      </c>
      <c r="B31" s="17" t="s">
        <v>40</v>
      </c>
      <c r="C31" s="18" t="s">
        <v>39</v>
      </c>
    </row>
    <row r="32" spans="1:3" ht="13.5" thickBot="1" x14ac:dyDescent="0.25">
      <c r="A32" s="16">
        <v>37791</v>
      </c>
      <c r="B32" s="17" t="s">
        <v>40</v>
      </c>
      <c r="C32" s="18" t="s">
        <v>41</v>
      </c>
    </row>
    <row r="33" spans="1:3" ht="13.5" thickBot="1" x14ac:dyDescent="0.25">
      <c r="A33" s="16">
        <v>37871</v>
      </c>
      <c r="B33" s="17" t="s">
        <v>47</v>
      </c>
      <c r="C33" s="18" t="s">
        <v>42</v>
      </c>
    </row>
    <row r="34" spans="1:3" ht="14.25" thickBot="1" x14ac:dyDescent="0.25">
      <c r="A34" s="16">
        <v>37906</v>
      </c>
      <c r="B34" s="17" t="s">
        <v>47</v>
      </c>
      <c r="C34" s="18" t="s">
        <v>43</v>
      </c>
    </row>
    <row r="35" spans="1:3" ht="13.5" thickBot="1" x14ac:dyDescent="0.25">
      <c r="A35" s="16">
        <v>37927</v>
      </c>
      <c r="B35" s="17" t="s">
        <v>47</v>
      </c>
      <c r="C35" s="18" t="s">
        <v>44</v>
      </c>
    </row>
    <row r="36" spans="1:3" ht="13.5" thickBot="1" x14ac:dyDescent="0.25">
      <c r="A36" s="16">
        <v>37940</v>
      </c>
      <c r="B36" s="17" t="s">
        <v>37</v>
      </c>
      <c r="C36" s="18" t="s">
        <v>45</v>
      </c>
    </row>
    <row r="37" spans="1:3" ht="13.5" thickBot="1" x14ac:dyDescent="0.25">
      <c r="A37" s="16">
        <v>37980</v>
      </c>
      <c r="B37" s="17" t="s">
        <v>40</v>
      </c>
      <c r="C37" s="18" t="s">
        <v>46</v>
      </c>
    </row>
    <row r="38" spans="1:3" ht="13.5" thickBot="1" x14ac:dyDescent="0.25">
      <c r="A38" s="19">
        <v>37987</v>
      </c>
      <c r="B38" s="20" t="s">
        <v>40</v>
      </c>
      <c r="C38" s="21" t="s">
        <v>32</v>
      </c>
    </row>
    <row r="39" spans="1:3" ht="13.5" thickBot="1" x14ac:dyDescent="0.25">
      <c r="A39" s="22">
        <v>38040</v>
      </c>
      <c r="B39" s="23" t="s">
        <v>31</v>
      </c>
      <c r="C39" s="24" t="s">
        <v>33</v>
      </c>
    </row>
    <row r="40" spans="1:3" ht="13.5" thickBot="1" x14ac:dyDescent="0.25">
      <c r="A40" s="22">
        <v>38041</v>
      </c>
      <c r="B40" s="23" t="s">
        <v>34</v>
      </c>
      <c r="C40" s="24" t="s">
        <v>33</v>
      </c>
    </row>
    <row r="41" spans="1:3" ht="13.5" thickBot="1" x14ac:dyDescent="0.25">
      <c r="A41" s="22">
        <v>38086</v>
      </c>
      <c r="B41" s="23" t="s">
        <v>35</v>
      </c>
      <c r="C41" s="24" t="s">
        <v>36</v>
      </c>
    </row>
    <row r="42" spans="1:3" ht="13.5" thickBot="1" x14ac:dyDescent="0.25">
      <c r="A42" s="22">
        <v>38098</v>
      </c>
      <c r="B42" s="23" t="s">
        <v>48</v>
      </c>
      <c r="C42" s="24" t="s">
        <v>38</v>
      </c>
    </row>
    <row r="43" spans="1:3" ht="13.5" thickBot="1" x14ac:dyDescent="0.25">
      <c r="A43" s="22">
        <v>38108</v>
      </c>
      <c r="B43" s="23" t="s">
        <v>37</v>
      </c>
      <c r="C43" s="24" t="s">
        <v>39</v>
      </c>
    </row>
    <row r="44" spans="1:3" ht="13.5" thickBot="1" x14ac:dyDescent="0.25">
      <c r="A44" s="22">
        <v>38148</v>
      </c>
      <c r="B44" s="23" t="s">
        <v>40</v>
      </c>
      <c r="C44" s="24" t="s">
        <v>41</v>
      </c>
    </row>
    <row r="45" spans="1:3" ht="13.5" thickBot="1" x14ac:dyDescent="0.25">
      <c r="A45" s="22">
        <v>38237</v>
      </c>
      <c r="B45" s="23" t="s">
        <v>34</v>
      </c>
      <c r="C45" s="24" t="s">
        <v>42</v>
      </c>
    </row>
    <row r="46" spans="1:3" ht="14.25" thickBot="1" x14ac:dyDescent="0.25">
      <c r="A46" s="22">
        <v>38272</v>
      </c>
      <c r="B46" s="23" t="s">
        <v>34</v>
      </c>
      <c r="C46" s="24" t="s">
        <v>43</v>
      </c>
    </row>
    <row r="47" spans="1:3" ht="13.5" thickBot="1" x14ac:dyDescent="0.25">
      <c r="A47" s="22">
        <v>38293</v>
      </c>
      <c r="B47" s="23" t="s">
        <v>34</v>
      </c>
      <c r="C47" s="24" t="s">
        <v>44</v>
      </c>
    </row>
    <row r="48" spans="1:3" ht="13.5" thickBot="1" x14ac:dyDescent="0.25">
      <c r="A48" s="22">
        <v>38306</v>
      </c>
      <c r="B48" s="23" t="s">
        <v>31</v>
      </c>
      <c r="C48" s="24" t="s">
        <v>45</v>
      </c>
    </row>
    <row r="49" spans="1:3" ht="13.5" thickBot="1" x14ac:dyDescent="0.25">
      <c r="A49" s="22">
        <v>38346</v>
      </c>
      <c r="B49" s="23" t="s">
        <v>37</v>
      </c>
      <c r="C49" s="24" t="s">
        <v>46</v>
      </c>
    </row>
    <row r="50" spans="1:3" ht="13.5" thickBot="1" x14ac:dyDescent="0.25">
      <c r="A50" s="25">
        <v>38353</v>
      </c>
      <c r="B50" s="26" t="s">
        <v>37</v>
      </c>
      <c r="C50" s="27" t="s">
        <v>32</v>
      </c>
    </row>
    <row r="51" spans="1:3" ht="13.5" thickBot="1" x14ac:dyDescent="0.25">
      <c r="A51" s="16">
        <v>38390</v>
      </c>
      <c r="B51" s="17" t="s">
        <v>31</v>
      </c>
      <c r="C51" s="18" t="s">
        <v>33</v>
      </c>
    </row>
    <row r="52" spans="1:3" ht="13.5" thickBot="1" x14ac:dyDescent="0.25">
      <c r="A52" s="16">
        <v>38391</v>
      </c>
      <c r="B52" s="17" t="s">
        <v>34</v>
      </c>
      <c r="C52" s="18" t="s">
        <v>33</v>
      </c>
    </row>
    <row r="53" spans="1:3" ht="13.5" thickBot="1" x14ac:dyDescent="0.25">
      <c r="A53" s="16">
        <v>38436</v>
      </c>
      <c r="B53" s="17" t="s">
        <v>35</v>
      </c>
      <c r="C53" s="18" t="s">
        <v>36</v>
      </c>
    </row>
    <row r="54" spans="1:3" ht="13.5" thickBot="1" x14ac:dyDescent="0.25">
      <c r="A54" s="16">
        <v>38463</v>
      </c>
      <c r="B54" s="17" t="s">
        <v>40</v>
      </c>
      <c r="C54" s="18" t="s">
        <v>38</v>
      </c>
    </row>
    <row r="55" spans="1:3" ht="13.5" thickBot="1" x14ac:dyDescent="0.25">
      <c r="A55" s="16">
        <v>38473</v>
      </c>
      <c r="B55" s="17" t="s">
        <v>47</v>
      </c>
      <c r="C55" s="18" t="s">
        <v>39</v>
      </c>
    </row>
    <row r="56" spans="1:3" ht="13.5" thickBot="1" x14ac:dyDescent="0.25">
      <c r="A56" s="16">
        <v>38498</v>
      </c>
      <c r="B56" s="17" t="s">
        <v>40</v>
      </c>
      <c r="C56" s="18" t="s">
        <v>41</v>
      </c>
    </row>
    <row r="57" spans="1:3" ht="13.5" thickBot="1" x14ac:dyDescent="0.25">
      <c r="A57" s="16">
        <v>38602</v>
      </c>
      <c r="B57" s="17" t="s">
        <v>48</v>
      </c>
      <c r="C57" s="18" t="s">
        <v>42</v>
      </c>
    </row>
    <row r="58" spans="1:3" ht="14.25" thickBot="1" x14ac:dyDescent="0.25">
      <c r="A58" s="16">
        <v>38637</v>
      </c>
      <c r="B58" s="17" t="s">
        <v>48</v>
      </c>
      <c r="C58" s="18" t="s">
        <v>43</v>
      </c>
    </row>
    <row r="59" spans="1:3" ht="13.5" thickBot="1" x14ac:dyDescent="0.25">
      <c r="A59" s="16">
        <v>38658</v>
      </c>
      <c r="B59" s="17" t="s">
        <v>48</v>
      </c>
      <c r="C59" s="18" t="s">
        <v>44</v>
      </c>
    </row>
    <row r="60" spans="1:3" ht="13.5" thickBot="1" x14ac:dyDescent="0.25">
      <c r="A60" s="16">
        <v>38671</v>
      </c>
      <c r="B60" s="17" t="s">
        <v>34</v>
      </c>
      <c r="C60" s="18" t="s">
        <v>45</v>
      </c>
    </row>
    <row r="61" spans="1:3" ht="13.5" thickBot="1" x14ac:dyDescent="0.25">
      <c r="A61" s="16">
        <v>38711</v>
      </c>
      <c r="B61" s="17" t="s">
        <v>47</v>
      </c>
      <c r="C61" s="18" t="s">
        <v>46</v>
      </c>
    </row>
    <row r="62" spans="1:3" ht="13.5" thickBot="1" x14ac:dyDescent="0.25">
      <c r="A62" s="19">
        <v>38718</v>
      </c>
      <c r="B62" s="20" t="s">
        <v>47</v>
      </c>
      <c r="C62" s="21" t="s">
        <v>32</v>
      </c>
    </row>
    <row r="63" spans="1:3" ht="13.5" thickBot="1" x14ac:dyDescent="0.25">
      <c r="A63" s="22">
        <v>38775</v>
      </c>
      <c r="B63" s="23" t="s">
        <v>31</v>
      </c>
      <c r="C63" s="24" t="s">
        <v>33</v>
      </c>
    </row>
    <row r="64" spans="1:3" ht="13.5" thickBot="1" x14ac:dyDescent="0.25">
      <c r="A64" s="22">
        <v>38776</v>
      </c>
      <c r="B64" s="23" t="s">
        <v>34</v>
      </c>
      <c r="C64" s="24" t="s">
        <v>33</v>
      </c>
    </row>
    <row r="65" spans="1:3" ht="13.5" thickBot="1" x14ac:dyDescent="0.25">
      <c r="A65" s="22">
        <v>38821</v>
      </c>
      <c r="B65" s="23" t="s">
        <v>35</v>
      </c>
      <c r="C65" s="24" t="s">
        <v>36</v>
      </c>
    </row>
    <row r="66" spans="1:3" ht="13.5" thickBot="1" x14ac:dyDescent="0.25">
      <c r="A66" s="22">
        <v>38828</v>
      </c>
      <c r="B66" s="23" t="s">
        <v>35</v>
      </c>
      <c r="C66" s="24" t="s">
        <v>38</v>
      </c>
    </row>
    <row r="67" spans="1:3" ht="13.5" thickBot="1" x14ac:dyDescent="0.25">
      <c r="A67" s="22">
        <v>38838</v>
      </c>
      <c r="B67" s="23" t="s">
        <v>31</v>
      </c>
      <c r="C67" s="24" t="s">
        <v>39</v>
      </c>
    </row>
    <row r="68" spans="1:3" ht="13.5" thickBot="1" x14ac:dyDescent="0.25">
      <c r="A68" s="22">
        <v>38883</v>
      </c>
      <c r="B68" s="23" t="s">
        <v>40</v>
      </c>
      <c r="C68" s="24" t="s">
        <v>41</v>
      </c>
    </row>
    <row r="69" spans="1:3" ht="13.5" thickBot="1" x14ac:dyDescent="0.25">
      <c r="A69" s="22">
        <v>38967</v>
      </c>
      <c r="B69" s="23" t="s">
        <v>40</v>
      </c>
      <c r="C69" s="24" t="s">
        <v>42</v>
      </c>
    </row>
    <row r="70" spans="1:3" ht="14.25" thickBot="1" x14ac:dyDescent="0.25">
      <c r="A70" s="22">
        <v>39002</v>
      </c>
      <c r="B70" s="23" t="s">
        <v>40</v>
      </c>
      <c r="C70" s="24" t="s">
        <v>43</v>
      </c>
    </row>
    <row r="71" spans="1:3" ht="13.5" thickBot="1" x14ac:dyDescent="0.25">
      <c r="A71" s="22">
        <v>39023</v>
      </c>
      <c r="B71" s="23" t="s">
        <v>40</v>
      </c>
      <c r="C71" s="24" t="s">
        <v>44</v>
      </c>
    </row>
    <row r="72" spans="1:3" ht="13.5" thickBot="1" x14ac:dyDescent="0.25">
      <c r="A72" s="22">
        <v>39036</v>
      </c>
      <c r="B72" s="23" t="s">
        <v>48</v>
      </c>
      <c r="C72" s="24" t="s">
        <v>45</v>
      </c>
    </row>
    <row r="73" spans="1:3" ht="13.5" thickBot="1" x14ac:dyDescent="0.25">
      <c r="A73" s="22">
        <v>39076</v>
      </c>
      <c r="B73" s="23" t="s">
        <v>31</v>
      </c>
      <c r="C73" s="24" t="s">
        <v>46</v>
      </c>
    </row>
    <row r="74" spans="1:3" ht="13.5" thickBot="1" x14ac:dyDescent="0.25">
      <c r="A74" s="25">
        <v>39083</v>
      </c>
      <c r="B74" s="26" t="s">
        <v>31</v>
      </c>
      <c r="C74" s="27" t="s">
        <v>32</v>
      </c>
    </row>
    <row r="75" spans="1:3" ht="13.5" thickBot="1" x14ac:dyDescent="0.25">
      <c r="A75" s="16">
        <v>39132</v>
      </c>
      <c r="B75" s="17" t="s">
        <v>31</v>
      </c>
      <c r="C75" s="18" t="s">
        <v>33</v>
      </c>
    </row>
    <row r="76" spans="1:3" ht="13.5" thickBot="1" x14ac:dyDescent="0.25">
      <c r="A76" s="16">
        <v>39133</v>
      </c>
      <c r="B76" s="17" t="s">
        <v>34</v>
      </c>
      <c r="C76" s="18" t="s">
        <v>33</v>
      </c>
    </row>
    <row r="77" spans="1:3" ht="13.5" thickBot="1" x14ac:dyDescent="0.25">
      <c r="A77" s="16">
        <v>39178</v>
      </c>
      <c r="B77" s="17" t="s">
        <v>35</v>
      </c>
      <c r="C77" s="18" t="s">
        <v>36</v>
      </c>
    </row>
    <row r="78" spans="1:3" ht="13.5" thickBot="1" x14ac:dyDescent="0.25">
      <c r="A78" s="16">
        <v>39193</v>
      </c>
      <c r="B78" s="17" t="s">
        <v>37</v>
      </c>
      <c r="C78" s="18" t="s">
        <v>38</v>
      </c>
    </row>
    <row r="79" spans="1:3" ht="13.5" thickBot="1" x14ac:dyDescent="0.25">
      <c r="A79" s="16">
        <v>39203</v>
      </c>
      <c r="B79" s="17" t="s">
        <v>34</v>
      </c>
      <c r="C79" s="18" t="s">
        <v>39</v>
      </c>
    </row>
    <row r="80" spans="1:3" ht="13.5" thickBot="1" x14ac:dyDescent="0.25">
      <c r="A80" s="16">
        <v>39240</v>
      </c>
      <c r="B80" s="17" t="s">
        <v>40</v>
      </c>
      <c r="C80" s="18" t="s">
        <v>41</v>
      </c>
    </row>
    <row r="81" spans="1:3" ht="13.5" thickBot="1" x14ac:dyDescent="0.25">
      <c r="A81" s="16">
        <v>39332</v>
      </c>
      <c r="B81" s="17" t="s">
        <v>35</v>
      </c>
      <c r="C81" s="18" t="s">
        <v>42</v>
      </c>
    </row>
    <row r="82" spans="1:3" ht="14.25" thickBot="1" x14ac:dyDescent="0.25">
      <c r="A82" s="16">
        <v>39367</v>
      </c>
      <c r="B82" s="17" t="s">
        <v>35</v>
      </c>
      <c r="C82" s="18" t="s">
        <v>43</v>
      </c>
    </row>
    <row r="83" spans="1:3" ht="13.5" thickBot="1" x14ac:dyDescent="0.25">
      <c r="A83" s="16">
        <v>39388</v>
      </c>
      <c r="B83" s="17" t="s">
        <v>35</v>
      </c>
      <c r="C83" s="18" t="s">
        <v>44</v>
      </c>
    </row>
    <row r="84" spans="1:3" ht="13.5" thickBot="1" x14ac:dyDescent="0.25">
      <c r="A84" s="16">
        <v>39401</v>
      </c>
      <c r="B84" s="17" t="s">
        <v>40</v>
      </c>
      <c r="C84" s="18" t="s">
        <v>45</v>
      </c>
    </row>
    <row r="85" spans="1:3" ht="13.5" thickBot="1" x14ac:dyDescent="0.25">
      <c r="A85" s="16">
        <v>39441</v>
      </c>
      <c r="B85" s="17" t="s">
        <v>34</v>
      </c>
      <c r="C85" s="18" t="s">
        <v>46</v>
      </c>
    </row>
    <row r="86" spans="1:3" ht="13.5" thickBot="1" x14ac:dyDescent="0.25">
      <c r="A86" s="19">
        <v>39448</v>
      </c>
      <c r="B86" s="20" t="s">
        <v>34</v>
      </c>
      <c r="C86" s="21" t="s">
        <v>32</v>
      </c>
    </row>
    <row r="87" spans="1:3" ht="13.5" thickBot="1" x14ac:dyDescent="0.25">
      <c r="A87" s="22">
        <v>39482</v>
      </c>
      <c r="B87" s="23" t="s">
        <v>31</v>
      </c>
      <c r="C87" s="24" t="s">
        <v>33</v>
      </c>
    </row>
    <row r="88" spans="1:3" ht="13.5" thickBot="1" x14ac:dyDescent="0.25">
      <c r="A88" s="22">
        <v>39483</v>
      </c>
      <c r="B88" s="23" t="s">
        <v>34</v>
      </c>
      <c r="C88" s="24" t="s">
        <v>33</v>
      </c>
    </row>
    <row r="89" spans="1:3" ht="13.5" thickBot="1" x14ac:dyDescent="0.25">
      <c r="A89" s="22">
        <v>39528</v>
      </c>
      <c r="B89" s="23" t="s">
        <v>35</v>
      </c>
      <c r="C89" s="24" t="s">
        <v>36</v>
      </c>
    </row>
    <row r="90" spans="1:3" ht="13.5" thickBot="1" x14ac:dyDescent="0.25">
      <c r="A90" s="22">
        <v>39559</v>
      </c>
      <c r="B90" s="23" t="s">
        <v>31</v>
      </c>
      <c r="C90" s="24" t="s">
        <v>38</v>
      </c>
    </row>
    <row r="91" spans="1:3" ht="13.5" thickBot="1" x14ac:dyDescent="0.25">
      <c r="A91" s="22">
        <v>39569</v>
      </c>
      <c r="B91" s="23" t="s">
        <v>40</v>
      </c>
      <c r="C91" s="24" t="s">
        <v>39</v>
      </c>
    </row>
    <row r="92" spans="1:3" ht="13.5" thickBot="1" x14ac:dyDescent="0.25">
      <c r="A92" s="22">
        <v>39590</v>
      </c>
      <c r="B92" s="23" t="s">
        <v>40</v>
      </c>
      <c r="C92" s="24" t="s">
        <v>41</v>
      </c>
    </row>
    <row r="93" spans="1:3" ht="13.5" thickBot="1" x14ac:dyDescent="0.25">
      <c r="A93" s="22">
        <v>39698</v>
      </c>
      <c r="B93" s="23" t="s">
        <v>47</v>
      </c>
      <c r="C93" s="24" t="s">
        <v>42</v>
      </c>
    </row>
    <row r="94" spans="1:3" ht="14.25" thickBot="1" x14ac:dyDescent="0.25">
      <c r="A94" s="22">
        <v>39733</v>
      </c>
      <c r="B94" s="23" t="s">
        <v>47</v>
      </c>
      <c r="C94" s="24" t="s">
        <v>43</v>
      </c>
    </row>
    <row r="95" spans="1:3" ht="13.5" thickBot="1" x14ac:dyDescent="0.25">
      <c r="A95" s="22">
        <v>39754</v>
      </c>
      <c r="B95" s="23" t="s">
        <v>47</v>
      </c>
      <c r="C95" s="24" t="s">
        <v>44</v>
      </c>
    </row>
    <row r="96" spans="1:3" ht="13.5" thickBot="1" x14ac:dyDescent="0.25">
      <c r="A96" s="22">
        <v>39767</v>
      </c>
      <c r="B96" s="23" t="s">
        <v>37</v>
      </c>
      <c r="C96" s="24" t="s">
        <v>45</v>
      </c>
    </row>
    <row r="97" spans="1:3" ht="13.5" thickBot="1" x14ac:dyDescent="0.25">
      <c r="A97" s="22">
        <v>39807</v>
      </c>
      <c r="B97" s="23" t="s">
        <v>40</v>
      </c>
      <c r="C97" s="24" t="s">
        <v>46</v>
      </c>
    </row>
    <row r="98" spans="1:3" ht="13.5" thickBot="1" x14ac:dyDescent="0.25">
      <c r="A98" s="25">
        <v>39814</v>
      </c>
      <c r="B98" s="26" t="s">
        <v>40</v>
      </c>
      <c r="C98" s="27" t="s">
        <v>32</v>
      </c>
    </row>
    <row r="99" spans="1:3" ht="13.5" thickBot="1" x14ac:dyDescent="0.25">
      <c r="A99" s="16">
        <v>39867</v>
      </c>
      <c r="B99" s="17" t="s">
        <v>31</v>
      </c>
      <c r="C99" s="18" t="s">
        <v>33</v>
      </c>
    </row>
    <row r="100" spans="1:3" ht="13.5" thickBot="1" x14ac:dyDescent="0.25">
      <c r="A100" s="16">
        <v>39868</v>
      </c>
      <c r="B100" s="17" t="s">
        <v>34</v>
      </c>
      <c r="C100" s="18" t="s">
        <v>33</v>
      </c>
    </row>
    <row r="101" spans="1:3" ht="13.5" thickBot="1" x14ac:dyDescent="0.25">
      <c r="A101" s="16">
        <v>39913</v>
      </c>
      <c r="B101" s="17" t="s">
        <v>35</v>
      </c>
      <c r="C101" s="18" t="s">
        <v>36</v>
      </c>
    </row>
    <row r="102" spans="1:3" ht="13.5" thickBot="1" x14ac:dyDescent="0.25">
      <c r="A102" s="16">
        <v>39924</v>
      </c>
      <c r="B102" s="17" t="s">
        <v>34</v>
      </c>
      <c r="C102" s="18" t="s">
        <v>38</v>
      </c>
    </row>
    <row r="103" spans="1:3" ht="13.5" thickBot="1" x14ac:dyDescent="0.25">
      <c r="A103" s="16">
        <v>39934</v>
      </c>
      <c r="B103" s="17" t="s">
        <v>35</v>
      </c>
      <c r="C103" s="18" t="s">
        <v>39</v>
      </c>
    </row>
    <row r="104" spans="1:3" ht="13.5" thickBot="1" x14ac:dyDescent="0.25">
      <c r="A104" s="16">
        <v>39975</v>
      </c>
      <c r="B104" s="17" t="s">
        <v>40</v>
      </c>
      <c r="C104" s="18" t="s">
        <v>41</v>
      </c>
    </row>
    <row r="105" spans="1:3" ht="13.5" thickBot="1" x14ac:dyDescent="0.25">
      <c r="A105" s="16">
        <v>40063</v>
      </c>
      <c r="B105" s="17" t="s">
        <v>31</v>
      </c>
      <c r="C105" s="18" t="s">
        <v>42</v>
      </c>
    </row>
    <row r="106" spans="1:3" ht="14.25" thickBot="1" x14ac:dyDescent="0.25">
      <c r="A106" s="16">
        <v>40098</v>
      </c>
      <c r="B106" s="17" t="s">
        <v>31</v>
      </c>
      <c r="C106" s="18" t="s">
        <v>43</v>
      </c>
    </row>
    <row r="107" spans="1:3" ht="13.5" thickBot="1" x14ac:dyDescent="0.25">
      <c r="A107" s="16">
        <v>40119</v>
      </c>
      <c r="B107" s="17" t="s">
        <v>31</v>
      </c>
      <c r="C107" s="18" t="s">
        <v>44</v>
      </c>
    </row>
    <row r="108" spans="1:3" ht="13.5" thickBot="1" x14ac:dyDescent="0.25">
      <c r="A108" s="16">
        <v>40132</v>
      </c>
      <c r="B108" s="17" t="s">
        <v>47</v>
      </c>
      <c r="C108" s="18" t="s">
        <v>45</v>
      </c>
    </row>
    <row r="109" spans="1:3" ht="13.5" thickBot="1" x14ac:dyDescent="0.25">
      <c r="A109" s="16">
        <v>40172</v>
      </c>
      <c r="B109" s="17" t="s">
        <v>35</v>
      </c>
      <c r="C109" s="18" t="s">
        <v>46</v>
      </c>
    </row>
    <row r="110" spans="1:3" ht="13.5" thickBot="1" x14ac:dyDescent="0.25">
      <c r="A110" s="19">
        <v>40179</v>
      </c>
      <c r="B110" s="20" t="s">
        <v>35</v>
      </c>
      <c r="C110" s="21" t="s">
        <v>32</v>
      </c>
    </row>
    <row r="111" spans="1:3" ht="13.5" thickBot="1" x14ac:dyDescent="0.25">
      <c r="A111" s="22">
        <v>40224</v>
      </c>
      <c r="B111" s="23" t="s">
        <v>31</v>
      </c>
      <c r="C111" s="24" t="s">
        <v>33</v>
      </c>
    </row>
    <row r="112" spans="1:3" ht="13.5" thickBot="1" x14ac:dyDescent="0.25">
      <c r="A112" s="22">
        <v>40225</v>
      </c>
      <c r="B112" s="23" t="s">
        <v>34</v>
      </c>
      <c r="C112" s="24" t="s">
        <v>33</v>
      </c>
    </row>
    <row r="113" spans="1:3" ht="13.5" thickBot="1" x14ac:dyDescent="0.25">
      <c r="A113" s="22">
        <v>40270</v>
      </c>
      <c r="B113" s="23" t="s">
        <v>35</v>
      </c>
      <c r="C113" s="24" t="s">
        <v>36</v>
      </c>
    </row>
    <row r="114" spans="1:3" ht="13.5" thickBot="1" x14ac:dyDescent="0.25">
      <c r="A114" s="22">
        <v>40289</v>
      </c>
      <c r="B114" s="23" t="s">
        <v>48</v>
      </c>
      <c r="C114" s="24" t="s">
        <v>38</v>
      </c>
    </row>
    <row r="115" spans="1:3" ht="13.5" thickBot="1" x14ac:dyDescent="0.25">
      <c r="A115" s="22">
        <v>40299</v>
      </c>
      <c r="B115" s="23" t="s">
        <v>37</v>
      </c>
      <c r="C115" s="24" t="s">
        <v>39</v>
      </c>
    </row>
    <row r="116" spans="1:3" ht="13.5" thickBot="1" x14ac:dyDescent="0.25">
      <c r="A116" s="22">
        <v>40332</v>
      </c>
      <c r="B116" s="23" t="s">
        <v>40</v>
      </c>
      <c r="C116" s="24" t="s">
        <v>41</v>
      </c>
    </row>
    <row r="117" spans="1:3" ht="13.5" thickBot="1" x14ac:dyDescent="0.25">
      <c r="A117" s="22">
        <v>40428</v>
      </c>
      <c r="B117" s="23" t="s">
        <v>34</v>
      </c>
      <c r="C117" s="24" t="s">
        <v>42</v>
      </c>
    </row>
    <row r="118" spans="1:3" ht="14.25" thickBot="1" x14ac:dyDescent="0.25">
      <c r="A118" s="22">
        <v>40463</v>
      </c>
      <c r="B118" s="23" t="s">
        <v>34</v>
      </c>
      <c r="C118" s="24" t="s">
        <v>43</v>
      </c>
    </row>
    <row r="119" spans="1:3" ht="13.5" thickBot="1" x14ac:dyDescent="0.25">
      <c r="A119" s="22">
        <v>40484</v>
      </c>
      <c r="B119" s="23" t="s">
        <v>34</v>
      </c>
      <c r="C119" s="24" t="s">
        <v>44</v>
      </c>
    </row>
    <row r="120" spans="1:3" ht="13.5" thickBot="1" x14ac:dyDescent="0.25">
      <c r="A120" s="22">
        <v>40497</v>
      </c>
      <c r="B120" s="23" t="s">
        <v>31</v>
      </c>
      <c r="C120" s="24" t="s">
        <v>45</v>
      </c>
    </row>
    <row r="121" spans="1:3" ht="13.5" thickBot="1" x14ac:dyDescent="0.25">
      <c r="A121" s="22">
        <v>40537</v>
      </c>
      <c r="B121" s="23" t="s">
        <v>37</v>
      </c>
      <c r="C121" s="24" t="s">
        <v>46</v>
      </c>
    </row>
    <row r="122" spans="1:3" ht="13.5" thickBot="1" x14ac:dyDescent="0.25">
      <c r="A122" s="25">
        <v>40544</v>
      </c>
      <c r="B122" s="26" t="s">
        <v>37</v>
      </c>
      <c r="C122" s="27" t="s">
        <v>32</v>
      </c>
    </row>
    <row r="123" spans="1:3" ht="13.5" thickBot="1" x14ac:dyDescent="0.25">
      <c r="A123" s="16">
        <v>40609</v>
      </c>
      <c r="B123" s="17" t="s">
        <v>31</v>
      </c>
      <c r="C123" s="18" t="s">
        <v>33</v>
      </c>
    </row>
    <row r="124" spans="1:3" ht="13.5" thickBot="1" x14ac:dyDescent="0.25">
      <c r="A124" s="16">
        <v>40610</v>
      </c>
      <c r="B124" s="17" t="s">
        <v>34</v>
      </c>
      <c r="C124" s="18" t="s">
        <v>33</v>
      </c>
    </row>
    <row r="125" spans="1:3" ht="13.5" thickBot="1" x14ac:dyDescent="0.25">
      <c r="A125" s="16">
        <v>40654</v>
      </c>
      <c r="B125" s="17" t="s">
        <v>40</v>
      </c>
      <c r="C125" s="18" t="s">
        <v>36</v>
      </c>
    </row>
    <row r="126" spans="1:3" ht="13.5" thickBot="1" x14ac:dyDescent="0.25">
      <c r="A126" s="16">
        <v>40655</v>
      </c>
      <c r="B126" s="17" t="s">
        <v>35</v>
      </c>
      <c r="C126" s="18" t="s">
        <v>38</v>
      </c>
    </row>
    <row r="127" spans="1:3" ht="13.5" thickBot="1" x14ac:dyDescent="0.25">
      <c r="A127" s="16">
        <v>40664</v>
      </c>
      <c r="B127" s="17" t="s">
        <v>47</v>
      </c>
      <c r="C127" s="18" t="s">
        <v>39</v>
      </c>
    </row>
    <row r="128" spans="1:3" ht="13.5" thickBot="1" x14ac:dyDescent="0.25">
      <c r="A128" s="16">
        <v>40717</v>
      </c>
      <c r="B128" s="17" t="s">
        <v>40</v>
      </c>
      <c r="C128" s="18" t="s">
        <v>41</v>
      </c>
    </row>
    <row r="129" spans="1:3" ht="13.5" thickBot="1" x14ac:dyDescent="0.25">
      <c r="A129" s="16">
        <v>40793</v>
      </c>
      <c r="B129" s="17" t="s">
        <v>48</v>
      </c>
      <c r="C129" s="18" t="s">
        <v>42</v>
      </c>
    </row>
    <row r="130" spans="1:3" ht="14.25" thickBot="1" x14ac:dyDescent="0.25">
      <c r="A130" s="16">
        <v>40828</v>
      </c>
      <c r="B130" s="17" t="s">
        <v>48</v>
      </c>
      <c r="C130" s="18" t="s">
        <v>43</v>
      </c>
    </row>
    <row r="131" spans="1:3" ht="13.5" thickBot="1" x14ac:dyDescent="0.25">
      <c r="A131" s="16">
        <v>40849</v>
      </c>
      <c r="B131" s="17" t="s">
        <v>48</v>
      </c>
      <c r="C131" s="18" t="s">
        <v>44</v>
      </c>
    </row>
    <row r="132" spans="1:3" ht="13.5" thickBot="1" x14ac:dyDescent="0.25">
      <c r="A132" s="16">
        <v>40862</v>
      </c>
      <c r="B132" s="17" t="s">
        <v>34</v>
      </c>
      <c r="C132" s="18" t="s">
        <v>45</v>
      </c>
    </row>
    <row r="133" spans="1:3" ht="13.5" thickBot="1" x14ac:dyDescent="0.25">
      <c r="A133" s="16">
        <v>40902</v>
      </c>
      <c r="B133" s="17" t="s">
        <v>47</v>
      </c>
      <c r="C133" s="18" t="s">
        <v>46</v>
      </c>
    </row>
    <row r="134" spans="1:3" ht="13.5" thickBot="1" x14ac:dyDescent="0.25">
      <c r="A134" s="19">
        <v>40909</v>
      </c>
      <c r="B134" s="20" t="s">
        <v>47</v>
      </c>
      <c r="C134" s="21" t="s">
        <v>32</v>
      </c>
    </row>
    <row r="135" spans="1:3" ht="13.5" thickBot="1" x14ac:dyDescent="0.25">
      <c r="A135" s="22">
        <v>40959</v>
      </c>
      <c r="B135" s="23" t="s">
        <v>31</v>
      </c>
      <c r="C135" s="24" t="s">
        <v>33</v>
      </c>
    </row>
    <row r="136" spans="1:3" ht="13.5" thickBot="1" x14ac:dyDescent="0.25">
      <c r="A136" s="22">
        <v>40960</v>
      </c>
      <c r="B136" s="23" t="s">
        <v>34</v>
      </c>
      <c r="C136" s="24" t="s">
        <v>33</v>
      </c>
    </row>
    <row r="137" spans="1:3" ht="13.5" thickBot="1" x14ac:dyDescent="0.25">
      <c r="A137" s="22">
        <v>41005</v>
      </c>
      <c r="B137" s="23" t="s">
        <v>35</v>
      </c>
      <c r="C137" s="24" t="s">
        <v>36</v>
      </c>
    </row>
    <row r="138" spans="1:3" ht="13.5" thickBot="1" x14ac:dyDescent="0.25">
      <c r="A138" s="22">
        <v>41020</v>
      </c>
      <c r="B138" s="23" t="s">
        <v>37</v>
      </c>
      <c r="C138" s="24" t="s">
        <v>38</v>
      </c>
    </row>
    <row r="139" spans="1:3" ht="13.5" thickBot="1" x14ac:dyDescent="0.25">
      <c r="A139" s="22">
        <v>41030</v>
      </c>
      <c r="B139" s="23" t="s">
        <v>34</v>
      </c>
      <c r="C139" s="24" t="s">
        <v>39</v>
      </c>
    </row>
    <row r="140" spans="1:3" ht="13.5" thickBot="1" x14ac:dyDescent="0.25">
      <c r="A140" s="22">
        <v>41067</v>
      </c>
      <c r="B140" s="23" t="s">
        <v>40</v>
      </c>
      <c r="C140" s="24" t="s">
        <v>41</v>
      </c>
    </row>
    <row r="141" spans="1:3" ht="13.5" thickBot="1" x14ac:dyDescent="0.25">
      <c r="A141" s="22">
        <v>41159</v>
      </c>
      <c r="B141" s="23" t="s">
        <v>35</v>
      </c>
      <c r="C141" s="24" t="s">
        <v>42</v>
      </c>
    </row>
    <row r="142" spans="1:3" ht="14.25" thickBot="1" x14ac:dyDescent="0.25">
      <c r="A142" s="22">
        <v>41194</v>
      </c>
      <c r="B142" s="23" t="s">
        <v>35</v>
      </c>
      <c r="C142" s="24" t="s">
        <v>43</v>
      </c>
    </row>
    <row r="143" spans="1:3" ht="13.5" thickBot="1" x14ac:dyDescent="0.25">
      <c r="A143" s="22">
        <v>41215</v>
      </c>
      <c r="B143" s="23" t="s">
        <v>35</v>
      </c>
      <c r="C143" s="24" t="s">
        <v>44</v>
      </c>
    </row>
    <row r="144" spans="1:3" ht="13.5" thickBot="1" x14ac:dyDescent="0.25">
      <c r="A144" s="22">
        <v>41228</v>
      </c>
      <c r="B144" s="23" t="s">
        <v>40</v>
      </c>
      <c r="C144" s="24" t="s">
        <v>45</v>
      </c>
    </row>
    <row r="145" spans="1:3" ht="13.5" thickBot="1" x14ac:dyDescent="0.25">
      <c r="A145" s="22">
        <v>41268</v>
      </c>
      <c r="B145" s="23" t="s">
        <v>34</v>
      </c>
      <c r="C145" s="24" t="s">
        <v>46</v>
      </c>
    </row>
    <row r="146" spans="1:3" ht="13.5" thickBot="1" x14ac:dyDescent="0.25">
      <c r="A146" s="25">
        <v>41275</v>
      </c>
      <c r="B146" s="26" t="s">
        <v>34</v>
      </c>
      <c r="C146" s="27" t="s">
        <v>32</v>
      </c>
    </row>
    <row r="147" spans="1:3" ht="13.5" thickBot="1" x14ac:dyDescent="0.25">
      <c r="A147" s="16">
        <v>41316</v>
      </c>
      <c r="B147" s="17" t="s">
        <v>31</v>
      </c>
      <c r="C147" s="18" t="s">
        <v>33</v>
      </c>
    </row>
    <row r="148" spans="1:3" ht="13.5" thickBot="1" x14ac:dyDescent="0.25">
      <c r="A148" s="16">
        <v>41317</v>
      </c>
      <c r="B148" s="17" t="s">
        <v>34</v>
      </c>
      <c r="C148" s="18" t="s">
        <v>33</v>
      </c>
    </row>
    <row r="149" spans="1:3" ht="13.5" thickBot="1" x14ac:dyDescent="0.25">
      <c r="A149" s="16">
        <v>41362</v>
      </c>
      <c r="B149" s="17" t="s">
        <v>35</v>
      </c>
      <c r="C149" s="18" t="s">
        <v>36</v>
      </c>
    </row>
    <row r="150" spans="1:3" ht="13.5" thickBot="1" x14ac:dyDescent="0.25">
      <c r="A150" s="16">
        <v>41385</v>
      </c>
      <c r="B150" s="17" t="s">
        <v>47</v>
      </c>
      <c r="C150" s="18" t="s">
        <v>38</v>
      </c>
    </row>
    <row r="151" spans="1:3" ht="13.5" thickBot="1" x14ac:dyDescent="0.25">
      <c r="A151" s="16">
        <v>41395</v>
      </c>
      <c r="B151" s="17" t="s">
        <v>48</v>
      </c>
      <c r="C151" s="18" t="s">
        <v>39</v>
      </c>
    </row>
    <row r="152" spans="1:3" ht="13.5" thickBot="1" x14ac:dyDescent="0.25">
      <c r="A152" s="16">
        <v>41424</v>
      </c>
      <c r="B152" s="17" t="s">
        <v>40</v>
      </c>
      <c r="C152" s="18" t="s">
        <v>41</v>
      </c>
    </row>
    <row r="153" spans="1:3" ht="13.5" thickBot="1" x14ac:dyDescent="0.25">
      <c r="A153" s="16">
        <v>41524</v>
      </c>
      <c r="B153" s="17" t="s">
        <v>37</v>
      </c>
      <c r="C153" s="18" t="s">
        <v>42</v>
      </c>
    </row>
    <row r="154" spans="1:3" ht="14.25" thickBot="1" x14ac:dyDescent="0.25">
      <c r="A154" s="16">
        <v>41559</v>
      </c>
      <c r="B154" s="17" t="s">
        <v>37</v>
      </c>
      <c r="C154" s="18" t="s">
        <v>43</v>
      </c>
    </row>
    <row r="155" spans="1:3" ht="13.5" thickBot="1" x14ac:dyDescent="0.25">
      <c r="A155" s="16">
        <v>41580</v>
      </c>
      <c r="B155" s="17" t="s">
        <v>37</v>
      </c>
      <c r="C155" s="18" t="s">
        <v>44</v>
      </c>
    </row>
    <row r="156" spans="1:3" ht="13.5" thickBot="1" x14ac:dyDescent="0.25">
      <c r="A156" s="16">
        <v>41593</v>
      </c>
      <c r="B156" s="17" t="s">
        <v>35</v>
      </c>
      <c r="C156" s="18" t="s">
        <v>45</v>
      </c>
    </row>
    <row r="157" spans="1:3" ht="13.5" thickBot="1" x14ac:dyDescent="0.25">
      <c r="A157" s="16">
        <v>41633</v>
      </c>
      <c r="B157" s="17" t="s">
        <v>48</v>
      </c>
      <c r="C157" s="18" t="s">
        <v>46</v>
      </c>
    </row>
    <row r="158" spans="1:3" ht="13.5" thickBot="1" x14ac:dyDescent="0.25">
      <c r="A158" s="19">
        <v>41640</v>
      </c>
      <c r="B158" s="20" t="s">
        <v>48</v>
      </c>
      <c r="C158" s="21" t="s">
        <v>32</v>
      </c>
    </row>
    <row r="159" spans="1:3" ht="13.5" thickBot="1" x14ac:dyDescent="0.25">
      <c r="A159" s="22">
        <v>41701</v>
      </c>
      <c r="B159" s="23" t="s">
        <v>31</v>
      </c>
      <c r="C159" s="24" t="s">
        <v>33</v>
      </c>
    </row>
    <row r="160" spans="1:3" ht="13.5" thickBot="1" x14ac:dyDescent="0.25">
      <c r="A160" s="22">
        <v>41702</v>
      </c>
      <c r="B160" s="23" t="s">
        <v>34</v>
      </c>
      <c r="C160" s="24" t="s">
        <v>33</v>
      </c>
    </row>
    <row r="161" spans="1:3" ht="13.5" thickBot="1" x14ac:dyDescent="0.25">
      <c r="A161" s="22">
        <v>41747</v>
      </c>
      <c r="B161" s="23" t="s">
        <v>35</v>
      </c>
      <c r="C161" s="24" t="s">
        <v>36</v>
      </c>
    </row>
    <row r="162" spans="1:3" ht="13.5" thickBot="1" x14ac:dyDescent="0.25">
      <c r="A162" s="22">
        <v>41750</v>
      </c>
      <c r="B162" s="23" t="s">
        <v>31</v>
      </c>
      <c r="C162" s="24" t="s">
        <v>38</v>
      </c>
    </row>
    <row r="163" spans="1:3" ht="13.5" thickBot="1" x14ac:dyDescent="0.25">
      <c r="A163" s="22">
        <v>41760</v>
      </c>
      <c r="B163" s="23" t="s">
        <v>40</v>
      </c>
      <c r="C163" s="24" t="s">
        <v>39</v>
      </c>
    </row>
    <row r="164" spans="1:3" ht="13.5" thickBot="1" x14ac:dyDescent="0.25">
      <c r="A164" s="22">
        <v>41809</v>
      </c>
      <c r="B164" s="23" t="s">
        <v>40</v>
      </c>
      <c r="C164" s="24" t="s">
        <v>41</v>
      </c>
    </row>
    <row r="165" spans="1:3" ht="13.5" thickBot="1" x14ac:dyDescent="0.25">
      <c r="A165" s="22">
        <v>41889</v>
      </c>
      <c r="B165" s="23" t="s">
        <v>47</v>
      </c>
      <c r="C165" s="24" t="s">
        <v>42</v>
      </c>
    </row>
    <row r="166" spans="1:3" ht="14.25" thickBot="1" x14ac:dyDescent="0.25">
      <c r="A166" s="22">
        <v>41924</v>
      </c>
      <c r="B166" s="23" t="s">
        <v>47</v>
      </c>
      <c r="C166" s="24" t="s">
        <v>43</v>
      </c>
    </row>
    <row r="167" spans="1:3" ht="13.5" thickBot="1" x14ac:dyDescent="0.25">
      <c r="A167" s="22">
        <v>41945</v>
      </c>
      <c r="B167" s="23" t="s">
        <v>47</v>
      </c>
      <c r="C167" s="24" t="s">
        <v>44</v>
      </c>
    </row>
    <row r="168" spans="1:3" ht="13.5" thickBot="1" x14ac:dyDescent="0.25">
      <c r="A168" s="22">
        <v>41958</v>
      </c>
      <c r="B168" s="23" t="s">
        <v>37</v>
      </c>
      <c r="C168" s="24" t="s">
        <v>45</v>
      </c>
    </row>
    <row r="169" spans="1:3" ht="13.5" thickBot="1" x14ac:dyDescent="0.25">
      <c r="A169" s="22">
        <v>41998</v>
      </c>
      <c r="B169" s="23" t="s">
        <v>40</v>
      </c>
      <c r="C169" s="24" t="s">
        <v>46</v>
      </c>
    </row>
    <row r="170" spans="1:3" ht="13.5" thickBot="1" x14ac:dyDescent="0.25">
      <c r="A170" s="25">
        <v>42005</v>
      </c>
      <c r="B170" s="26" t="s">
        <v>40</v>
      </c>
      <c r="C170" s="27" t="s">
        <v>32</v>
      </c>
    </row>
    <row r="171" spans="1:3" ht="13.5" thickBot="1" x14ac:dyDescent="0.25">
      <c r="A171" s="16">
        <v>42051</v>
      </c>
      <c r="B171" s="17" t="s">
        <v>31</v>
      </c>
      <c r="C171" s="18" t="s">
        <v>33</v>
      </c>
    </row>
    <row r="172" spans="1:3" ht="13.5" thickBot="1" x14ac:dyDescent="0.25">
      <c r="A172" s="16">
        <v>42052</v>
      </c>
      <c r="B172" s="17" t="s">
        <v>34</v>
      </c>
      <c r="C172" s="18" t="s">
        <v>33</v>
      </c>
    </row>
    <row r="173" spans="1:3" ht="13.5" thickBot="1" x14ac:dyDescent="0.25">
      <c r="A173" s="16">
        <v>42097</v>
      </c>
      <c r="B173" s="17" t="s">
        <v>35</v>
      </c>
      <c r="C173" s="18" t="s">
        <v>36</v>
      </c>
    </row>
    <row r="174" spans="1:3" ht="13.5" thickBot="1" x14ac:dyDescent="0.25">
      <c r="A174" s="16">
        <v>42115</v>
      </c>
      <c r="B174" s="17" t="s">
        <v>34</v>
      </c>
      <c r="C174" s="18" t="s">
        <v>38</v>
      </c>
    </row>
    <row r="175" spans="1:3" ht="13.5" thickBot="1" x14ac:dyDescent="0.25">
      <c r="A175" s="16">
        <v>42125</v>
      </c>
      <c r="B175" s="17" t="s">
        <v>35</v>
      </c>
      <c r="C175" s="18" t="s">
        <v>39</v>
      </c>
    </row>
    <row r="176" spans="1:3" ht="13.5" thickBot="1" x14ac:dyDescent="0.25">
      <c r="A176" s="16">
        <v>42159</v>
      </c>
      <c r="B176" s="17" t="s">
        <v>40</v>
      </c>
      <c r="C176" s="18" t="s">
        <v>41</v>
      </c>
    </row>
    <row r="177" spans="1:3" ht="13.5" thickBot="1" x14ac:dyDescent="0.25">
      <c r="A177" s="16">
        <v>42254</v>
      </c>
      <c r="B177" s="17" t="s">
        <v>31</v>
      </c>
      <c r="C177" s="18" t="s">
        <v>42</v>
      </c>
    </row>
    <row r="178" spans="1:3" ht="14.25" thickBot="1" x14ac:dyDescent="0.25">
      <c r="A178" s="16">
        <v>42289</v>
      </c>
      <c r="B178" s="17" t="s">
        <v>31</v>
      </c>
      <c r="C178" s="18" t="s">
        <v>43</v>
      </c>
    </row>
    <row r="179" spans="1:3" ht="13.5" thickBot="1" x14ac:dyDescent="0.25">
      <c r="A179" s="16">
        <v>42310</v>
      </c>
      <c r="B179" s="17" t="s">
        <v>31</v>
      </c>
      <c r="C179" s="18" t="s">
        <v>44</v>
      </c>
    </row>
    <row r="180" spans="1:3" ht="13.5" thickBot="1" x14ac:dyDescent="0.25">
      <c r="A180" s="16">
        <v>42323</v>
      </c>
      <c r="B180" s="17" t="s">
        <v>47</v>
      </c>
      <c r="C180" s="18" t="s">
        <v>45</v>
      </c>
    </row>
    <row r="181" spans="1:3" ht="13.5" thickBot="1" x14ac:dyDescent="0.25">
      <c r="A181" s="16">
        <v>42363</v>
      </c>
      <c r="B181" s="17" t="s">
        <v>35</v>
      </c>
      <c r="C181" s="18" t="s">
        <v>46</v>
      </c>
    </row>
    <row r="182" spans="1:3" ht="13.5" thickBot="1" x14ac:dyDescent="0.25">
      <c r="A182" s="19">
        <v>42370</v>
      </c>
      <c r="B182" s="20" t="s">
        <v>35</v>
      </c>
      <c r="C182" s="21" t="s">
        <v>32</v>
      </c>
    </row>
    <row r="183" spans="1:3" ht="13.5" thickBot="1" x14ac:dyDescent="0.25">
      <c r="A183" s="22">
        <v>42408</v>
      </c>
      <c r="B183" s="23" t="s">
        <v>31</v>
      </c>
      <c r="C183" s="24" t="s">
        <v>33</v>
      </c>
    </row>
    <row r="184" spans="1:3" ht="13.5" thickBot="1" x14ac:dyDescent="0.25">
      <c r="A184" s="22">
        <v>42409</v>
      </c>
      <c r="B184" s="23" t="s">
        <v>34</v>
      </c>
      <c r="C184" s="24" t="s">
        <v>33</v>
      </c>
    </row>
    <row r="185" spans="1:3" ht="13.5" thickBot="1" x14ac:dyDescent="0.25">
      <c r="A185" s="22">
        <v>42454</v>
      </c>
      <c r="B185" s="23" t="s">
        <v>35</v>
      </c>
      <c r="C185" s="24" t="s">
        <v>36</v>
      </c>
    </row>
    <row r="186" spans="1:3" ht="13.5" thickBot="1" x14ac:dyDescent="0.25">
      <c r="A186" s="22">
        <v>42481</v>
      </c>
      <c r="B186" s="23" t="s">
        <v>40</v>
      </c>
      <c r="C186" s="24" t="s">
        <v>38</v>
      </c>
    </row>
    <row r="187" spans="1:3" ht="13.5" thickBot="1" x14ac:dyDescent="0.25">
      <c r="A187" s="22">
        <v>42491</v>
      </c>
      <c r="B187" s="23" t="s">
        <v>47</v>
      </c>
      <c r="C187" s="24" t="s">
        <v>39</v>
      </c>
    </row>
    <row r="188" spans="1:3" ht="13.5" thickBot="1" x14ac:dyDescent="0.25">
      <c r="A188" s="22">
        <v>42516</v>
      </c>
      <c r="B188" s="23" t="s">
        <v>40</v>
      </c>
      <c r="C188" s="24" t="s">
        <v>41</v>
      </c>
    </row>
    <row r="189" spans="1:3" ht="13.5" thickBot="1" x14ac:dyDescent="0.25">
      <c r="A189" s="22">
        <v>42620</v>
      </c>
      <c r="B189" s="23" t="s">
        <v>48</v>
      </c>
      <c r="C189" s="24" t="s">
        <v>42</v>
      </c>
    </row>
    <row r="190" spans="1:3" ht="14.25" thickBot="1" x14ac:dyDescent="0.25">
      <c r="A190" s="22">
        <v>42655</v>
      </c>
      <c r="B190" s="23" t="s">
        <v>48</v>
      </c>
      <c r="C190" s="24" t="s">
        <v>43</v>
      </c>
    </row>
    <row r="191" spans="1:3" ht="13.5" thickBot="1" x14ac:dyDescent="0.25">
      <c r="A191" s="22">
        <v>42676</v>
      </c>
      <c r="B191" s="23" t="s">
        <v>48</v>
      </c>
      <c r="C191" s="24" t="s">
        <v>44</v>
      </c>
    </row>
    <row r="192" spans="1:3" ht="13.5" thickBot="1" x14ac:dyDescent="0.25">
      <c r="A192" s="22">
        <v>42689</v>
      </c>
      <c r="B192" s="23" t="s">
        <v>34</v>
      </c>
      <c r="C192" s="24" t="s">
        <v>45</v>
      </c>
    </row>
    <row r="193" spans="1:3" ht="13.5" thickBot="1" x14ac:dyDescent="0.25">
      <c r="A193" s="22">
        <v>42729</v>
      </c>
      <c r="B193" s="23" t="s">
        <v>47</v>
      </c>
      <c r="C193" s="24" t="s">
        <v>46</v>
      </c>
    </row>
    <row r="194" spans="1:3" ht="13.5" thickBot="1" x14ac:dyDescent="0.25">
      <c r="A194" s="25">
        <v>42736</v>
      </c>
      <c r="B194" s="26" t="s">
        <v>47</v>
      </c>
      <c r="C194" s="27" t="s">
        <v>32</v>
      </c>
    </row>
    <row r="195" spans="1:3" ht="13.5" thickBot="1" x14ac:dyDescent="0.25">
      <c r="A195" s="16">
        <v>42793</v>
      </c>
      <c r="B195" s="17" t="s">
        <v>31</v>
      </c>
      <c r="C195" s="18" t="s">
        <v>33</v>
      </c>
    </row>
    <row r="196" spans="1:3" ht="13.5" thickBot="1" x14ac:dyDescent="0.25">
      <c r="A196" s="16">
        <v>42794</v>
      </c>
      <c r="B196" s="17" t="s">
        <v>34</v>
      </c>
      <c r="C196" s="18" t="s">
        <v>33</v>
      </c>
    </row>
    <row r="197" spans="1:3" ht="13.5" thickBot="1" x14ac:dyDescent="0.25">
      <c r="A197" s="16">
        <v>42839</v>
      </c>
      <c r="B197" s="17" t="s">
        <v>35</v>
      </c>
      <c r="C197" s="18" t="s">
        <v>36</v>
      </c>
    </row>
    <row r="198" spans="1:3" ht="13.5" thickBot="1" x14ac:dyDescent="0.25">
      <c r="A198" s="16">
        <v>42846</v>
      </c>
      <c r="B198" s="17" t="s">
        <v>35</v>
      </c>
      <c r="C198" s="18" t="s">
        <v>38</v>
      </c>
    </row>
    <row r="199" spans="1:3" ht="13.5" thickBot="1" x14ac:dyDescent="0.25">
      <c r="A199" s="16">
        <v>42856</v>
      </c>
      <c r="B199" s="17" t="s">
        <v>31</v>
      </c>
      <c r="C199" s="18" t="s">
        <v>39</v>
      </c>
    </row>
    <row r="200" spans="1:3" ht="13.5" thickBot="1" x14ac:dyDescent="0.25">
      <c r="A200" s="16">
        <v>42901</v>
      </c>
      <c r="B200" s="17" t="s">
        <v>40</v>
      </c>
      <c r="C200" s="18" t="s">
        <v>41</v>
      </c>
    </row>
    <row r="201" spans="1:3" ht="13.5" thickBot="1" x14ac:dyDescent="0.25">
      <c r="A201" s="16">
        <v>42985</v>
      </c>
      <c r="B201" s="17" t="s">
        <v>40</v>
      </c>
      <c r="C201" s="18" t="s">
        <v>42</v>
      </c>
    </row>
    <row r="202" spans="1:3" ht="14.25" thickBot="1" x14ac:dyDescent="0.25">
      <c r="A202" s="16">
        <v>43020</v>
      </c>
      <c r="B202" s="17" t="s">
        <v>40</v>
      </c>
      <c r="C202" s="18" t="s">
        <v>43</v>
      </c>
    </row>
    <row r="203" spans="1:3" ht="13.5" thickBot="1" x14ac:dyDescent="0.25">
      <c r="A203" s="16">
        <v>43041</v>
      </c>
      <c r="B203" s="17" t="s">
        <v>40</v>
      </c>
      <c r="C203" s="18" t="s">
        <v>44</v>
      </c>
    </row>
    <row r="204" spans="1:3" ht="13.5" thickBot="1" x14ac:dyDescent="0.25">
      <c r="A204" s="16">
        <v>43054</v>
      </c>
      <c r="B204" s="17" t="s">
        <v>48</v>
      </c>
      <c r="C204" s="18" t="s">
        <v>45</v>
      </c>
    </row>
    <row r="205" spans="1:3" ht="13.5" thickBot="1" x14ac:dyDescent="0.25">
      <c r="A205" s="16">
        <v>43094</v>
      </c>
      <c r="B205" s="17" t="s">
        <v>31</v>
      </c>
      <c r="C205" s="18" t="s">
        <v>46</v>
      </c>
    </row>
    <row r="206" spans="1:3" ht="13.5" thickBot="1" x14ac:dyDescent="0.25">
      <c r="A206" s="19">
        <v>43101</v>
      </c>
      <c r="B206" s="20" t="s">
        <v>31</v>
      </c>
      <c r="C206" s="21" t="s">
        <v>32</v>
      </c>
    </row>
    <row r="207" spans="1:3" ht="13.5" thickBot="1" x14ac:dyDescent="0.25">
      <c r="A207" s="22">
        <v>43143</v>
      </c>
      <c r="B207" s="23" t="s">
        <v>31</v>
      </c>
      <c r="C207" s="24" t="s">
        <v>33</v>
      </c>
    </row>
    <row r="208" spans="1:3" ht="13.5" thickBot="1" x14ac:dyDescent="0.25">
      <c r="A208" s="22">
        <v>43144</v>
      </c>
      <c r="B208" s="23" t="s">
        <v>34</v>
      </c>
      <c r="C208" s="24" t="s">
        <v>33</v>
      </c>
    </row>
    <row r="209" spans="1:3" ht="13.5" thickBot="1" x14ac:dyDescent="0.25">
      <c r="A209" s="22">
        <v>43189</v>
      </c>
      <c r="B209" s="23" t="s">
        <v>35</v>
      </c>
      <c r="C209" s="24" t="s">
        <v>36</v>
      </c>
    </row>
    <row r="210" spans="1:3" ht="13.5" thickBot="1" x14ac:dyDescent="0.25">
      <c r="A210" s="22">
        <v>43211</v>
      </c>
      <c r="B210" s="23" t="s">
        <v>37</v>
      </c>
      <c r="C210" s="24" t="s">
        <v>38</v>
      </c>
    </row>
    <row r="211" spans="1:3" ht="13.5" thickBot="1" x14ac:dyDescent="0.25">
      <c r="A211" s="22">
        <v>43221</v>
      </c>
      <c r="B211" s="23" t="s">
        <v>34</v>
      </c>
      <c r="C211" s="24" t="s">
        <v>39</v>
      </c>
    </row>
    <row r="212" spans="1:3" ht="13.5" thickBot="1" x14ac:dyDescent="0.25">
      <c r="A212" s="22">
        <v>43251</v>
      </c>
      <c r="B212" s="23" t="s">
        <v>40</v>
      </c>
      <c r="C212" s="24" t="s">
        <v>41</v>
      </c>
    </row>
    <row r="213" spans="1:3" ht="13.5" thickBot="1" x14ac:dyDescent="0.25">
      <c r="A213" s="22">
        <v>43350</v>
      </c>
      <c r="B213" s="23" t="s">
        <v>35</v>
      </c>
      <c r="C213" s="24" t="s">
        <v>42</v>
      </c>
    </row>
    <row r="214" spans="1:3" ht="14.25" thickBot="1" x14ac:dyDescent="0.25">
      <c r="A214" s="22">
        <v>43385</v>
      </c>
      <c r="B214" s="23" t="s">
        <v>35</v>
      </c>
      <c r="C214" s="24" t="s">
        <v>43</v>
      </c>
    </row>
    <row r="215" spans="1:3" ht="13.5" thickBot="1" x14ac:dyDescent="0.25">
      <c r="A215" s="22">
        <v>43406</v>
      </c>
      <c r="B215" s="23" t="s">
        <v>35</v>
      </c>
      <c r="C215" s="24" t="s">
        <v>44</v>
      </c>
    </row>
    <row r="216" spans="1:3" ht="13.5" thickBot="1" x14ac:dyDescent="0.25">
      <c r="A216" s="22">
        <v>43419</v>
      </c>
      <c r="B216" s="23" t="s">
        <v>40</v>
      </c>
      <c r="C216" s="24" t="s">
        <v>45</v>
      </c>
    </row>
    <row r="217" spans="1:3" ht="13.5" thickBot="1" x14ac:dyDescent="0.25">
      <c r="A217" s="22">
        <v>43459</v>
      </c>
      <c r="B217" s="23" t="s">
        <v>34</v>
      </c>
      <c r="C217" s="24" t="s">
        <v>46</v>
      </c>
    </row>
    <row r="218" spans="1:3" ht="13.5" thickBot="1" x14ac:dyDescent="0.25">
      <c r="A218" s="25">
        <v>43466</v>
      </c>
      <c r="B218" s="26" t="s">
        <v>34</v>
      </c>
      <c r="C218" s="27" t="s">
        <v>32</v>
      </c>
    </row>
    <row r="219" spans="1:3" ht="13.5" thickBot="1" x14ac:dyDescent="0.25">
      <c r="A219" s="16">
        <v>43528</v>
      </c>
      <c r="B219" s="17" t="s">
        <v>31</v>
      </c>
      <c r="C219" s="18" t="s">
        <v>33</v>
      </c>
    </row>
    <row r="220" spans="1:3" ht="13.5" thickBot="1" x14ac:dyDescent="0.25">
      <c r="A220" s="16">
        <v>43529</v>
      </c>
      <c r="B220" s="17" t="s">
        <v>34</v>
      </c>
      <c r="C220" s="18" t="s">
        <v>33</v>
      </c>
    </row>
    <row r="221" spans="1:3" ht="13.5" thickBot="1" x14ac:dyDescent="0.25">
      <c r="A221" s="16">
        <v>43574</v>
      </c>
      <c r="B221" s="17" t="s">
        <v>35</v>
      </c>
      <c r="C221" s="18" t="s">
        <v>36</v>
      </c>
    </row>
    <row r="222" spans="1:3" ht="13.5" thickBot="1" x14ac:dyDescent="0.25">
      <c r="A222" s="16">
        <v>43576</v>
      </c>
      <c r="B222" s="17" t="s">
        <v>47</v>
      </c>
      <c r="C222" s="18" t="s">
        <v>38</v>
      </c>
    </row>
    <row r="223" spans="1:3" ht="13.5" thickBot="1" x14ac:dyDescent="0.25">
      <c r="A223" s="16">
        <v>43586</v>
      </c>
      <c r="B223" s="17" t="s">
        <v>48</v>
      </c>
      <c r="C223" s="18" t="s">
        <v>39</v>
      </c>
    </row>
    <row r="224" spans="1:3" ht="13.5" thickBot="1" x14ac:dyDescent="0.25">
      <c r="A224" s="16">
        <v>43636</v>
      </c>
      <c r="B224" s="17" t="s">
        <v>40</v>
      </c>
      <c r="C224" s="18" t="s">
        <v>41</v>
      </c>
    </row>
    <row r="225" spans="1:3" ht="13.5" thickBot="1" x14ac:dyDescent="0.25">
      <c r="A225" s="16">
        <v>43715</v>
      </c>
      <c r="B225" s="17" t="s">
        <v>37</v>
      </c>
      <c r="C225" s="18" t="s">
        <v>42</v>
      </c>
    </row>
    <row r="226" spans="1:3" ht="14.25" thickBot="1" x14ac:dyDescent="0.25">
      <c r="A226" s="16">
        <v>43750</v>
      </c>
      <c r="B226" s="17" t="s">
        <v>37</v>
      </c>
      <c r="C226" s="18" t="s">
        <v>43</v>
      </c>
    </row>
    <row r="227" spans="1:3" ht="13.5" thickBot="1" x14ac:dyDescent="0.25">
      <c r="A227" s="16">
        <v>43771</v>
      </c>
      <c r="B227" s="17" t="s">
        <v>37</v>
      </c>
      <c r="C227" s="18" t="s">
        <v>44</v>
      </c>
    </row>
    <row r="228" spans="1:3" ht="13.5" thickBot="1" x14ac:dyDescent="0.25">
      <c r="A228" s="16">
        <v>43784</v>
      </c>
      <c r="B228" s="17" t="s">
        <v>35</v>
      </c>
      <c r="C228" s="18" t="s">
        <v>45</v>
      </c>
    </row>
    <row r="229" spans="1:3" ht="13.5" thickBot="1" x14ac:dyDescent="0.25">
      <c r="A229" s="16">
        <v>43824</v>
      </c>
      <c r="B229" s="17" t="s">
        <v>48</v>
      </c>
      <c r="C229" s="18" t="s">
        <v>46</v>
      </c>
    </row>
    <row r="230" spans="1:3" ht="13.5" thickBot="1" x14ac:dyDescent="0.25">
      <c r="A230" s="19">
        <v>43831</v>
      </c>
      <c r="B230" s="20" t="s">
        <v>48</v>
      </c>
      <c r="C230" s="21" t="s">
        <v>32</v>
      </c>
    </row>
    <row r="231" spans="1:3" ht="13.5" thickBot="1" x14ac:dyDescent="0.25">
      <c r="A231" s="22">
        <v>43885</v>
      </c>
      <c r="B231" s="23" t="s">
        <v>31</v>
      </c>
      <c r="C231" s="24" t="s">
        <v>33</v>
      </c>
    </row>
    <row r="232" spans="1:3" ht="13.5" thickBot="1" x14ac:dyDescent="0.25">
      <c r="A232" s="22">
        <v>43886</v>
      </c>
      <c r="B232" s="23" t="s">
        <v>34</v>
      </c>
      <c r="C232" s="24" t="s">
        <v>33</v>
      </c>
    </row>
    <row r="233" spans="1:3" ht="13.5" thickBot="1" x14ac:dyDescent="0.25">
      <c r="A233" s="22">
        <v>43931</v>
      </c>
      <c r="B233" s="23" t="s">
        <v>35</v>
      </c>
      <c r="C233" s="24" t="s">
        <v>36</v>
      </c>
    </row>
    <row r="234" spans="1:3" ht="13.5" thickBot="1" x14ac:dyDescent="0.25">
      <c r="A234" s="22">
        <v>43942</v>
      </c>
      <c r="B234" s="23" t="s">
        <v>34</v>
      </c>
      <c r="C234" s="24" t="s">
        <v>38</v>
      </c>
    </row>
    <row r="235" spans="1:3" ht="13.5" thickBot="1" x14ac:dyDescent="0.25">
      <c r="A235" s="22">
        <v>43952</v>
      </c>
      <c r="B235" s="23" t="s">
        <v>35</v>
      </c>
      <c r="C235" s="24" t="s">
        <v>39</v>
      </c>
    </row>
    <row r="236" spans="1:3" ht="13.5" thickBot="1" x14ac:dyDescent="0.25">
      <c r="A236" s="22">
        <v>43993</v>
      </c>
      <c r="B236" s="23" t="s">
        <v>40</v>
      </c>
      <c r="C236" s="24" t="s">
        <v>41</v>
      </c>
    </row>
    <row r="237" spans="1:3" ht="13.5" thickBot="1" x14ac:dyDescent="0.25">
      <c r="A237" s="22">
        <v>44081</v>
      </c>
      <c r="B237" s="23" t="s">
        <v>31</v>
      </c>
      <c r="C237" s="24" t="s">
        <v>42</v>
      </c>
    </row>
    <row r="238" spans="1:3" ht="14.25" thickBot="1" x14ac:dyDescent="0.25">
      <c r="A238" s="22">
        <v>44116</v>
      </c>
      <c r="B238" s="23" t="s">
        <v>31</v>
      </c>
      <c r="C238" s="24" t="s">
        <v>43</v>
      </c>
    </row>
    <row r="239" spans="1:3" ht="13.5" thickBot="1" x14ac:dyDescent="0.25">
      <c r="A239" s="22">
        <v>44137</v>
      </c>
      <c r="B239" s="23" t="s">
        <v>31</v>
      </c>
      <c r="C239" s="24" t="s">
        <v>44</v>
      </c>
    </row>
    <row r="240" spans="1:3" ht="13.5" thickBot="1" x14ac:dyDescent="0.25">
      <c r="A240" s="22">
        <v>44150</v>
      </c>
      <c r="B240" s="23" t="s">
        <v>47</v>
      </c>
      <c r="C240" s="24" t="s">
        <v>45</v>
      </c>
    </row>
    <row r="241" spans="1:3" ht="13.5" thickBot="1" x14ac:dyDescent="0.25">
      <c r="A241" s="22">
        <v>44190</v>
      </c>
      <c r="B241" s="23" t="s">
        <v>35</v>
      </c>
      <c r="C241" s="24" t="s">
        <v>46</v>
      </c>
    </row>
    <row r="242" spans="1:3" ht="13.5" thickBot="1" x14ac:dyDescent="0.25">
      <c r="A242" s="25">
        <v>44197</v>
      </c>
      <c r="B242" s="26" t="s">
        <v>35</v>
      </c>
      <c r="C242" s="27" t="s">
        <v>32</v>
      </c>
    </row>
    <row r="243" spans="1:3" ht="13.5" thickBot="1" x14ac:dyDescent="0.25">
      <c r="A243" s="16">
        <v>44242</v>
      </c>
      <c r="B243" s="17" t="s">
        <v>31</v>
      </c>
      <c r="C243" s="18" t="s">
        <v>33</v>
      </c>
    </row>
    <row r="244" spans="1:3" ht="13.5" thickBot="1" x14ac:dyDescent="0.25">
      <c r="A244" s="16">
        <v>44243</v>
      </c>
      <c r="B244" s="17" t="s">
        <v>34</v>
      </c>
      <c r="C244" s="18" t="s">
        <v>33</v>
      </c>
    </row>
    <row r="245" spans="1:3" ht="13.5" thickBot="1" x14ac:dyDescent="0.25">
      <c r="A245" s="16">
        <v>44288</v>
      </c>
      <c r="B245" s="17" t="s">
        <v>35</v>
      </c>
      <c r="C245" s="18" t="s">
        <v>36</v>
      </c>
    </row>
    <row r="246" spans="1:3" ht="13.5" thickBot="1" x14ac:dyDescent="0.25">
      <c r="A246" s="16">
        <v>44307</v>
      </c>
      <c r="B246" s="17" t="s">
        <v>48</v>
      </c>
      <c r="C246" s="18" t="s">
        <v>38</v>
      </c>
    </row>
    <row r="247" spans="1:3" ht="13.5" thickBot="1" x14ac:dyDescent="0.25">
      <c r="A247" s="16">
        <v>44317</v>
      </c>
      <c r="B247" s="17" t="s">
        <v>37</v>
      </c>
      <c r="C247" s="18" t="s">
        <v>39</v>
      </c>
    </row>
    <row r="248" spans="1:3" ht="13.5" thickBot="1" x14ac:dyDescent="0.25">
      <c r="A248" s="16">
        <v>44350</v>
      </c>
      <c r="B248" s="17" t="s">
        <v>40</v>
      </c>
      <c r="C248" s="18" t="s">
        <v>41</v>
      </c>
    </row>
    <row r="249" spans="1:3" ht="13.5" thickBot="1" x14ac:dyDescent="0.25">
      <c r="A249" s="16">
        <v>44446</v>
      </c>
      <c r="B249" s="17" t="s">
        <v>34</v>
      </c>
      <c r="C249" s="18" t="s">
        <v>42</v>
      </c>
    </row>
    <row r="250" spans="1:3" ht="14.25" thickBot="1" x14ac:dyDescent="0.25">
      <c r="A250" s="16">
        <v>44481</v>
      </c>
      <c r="B250" s="17" t="s">
        <v>34</v>
      </c>
      <c r="C250" s="18" t="s">
        <v>43</v>
      </c>
    </row>
    <row r="251" spans="1:3" ht="13.5" thickBot="1" x14ac:dyDescent="0.25">
      <c r="A251" s="16">
        <v>44502</v>
      </c>
      <c r="B251" s="17" t="s">
        <v>34</v>
      </c>
      <c r="C251" s="18" t="s">
        <v>44</v>
      </c>
    </row>
    <row r="252" spans="1:3" ht="13.5" thickBot="1" x14ac:dyDescent="0.25">
      <c r="A252" s="16">
        <v>44515</v>
      </c>
      <c r="B252" s="17" t="s">
        <v>31</v>
      </c>
      <c r="C252" s="18" t="s">
        <v>45</v>
      </c>
    </row>
    <row r="253" spans="1:3" ht="13.5" thickBot="1" x14ac:dyDescent="0.25">
      <c r="A253" s="16">
        <v>44555</v>
      </c>
      <c r="B253" s="17" t="s">
        <v>37</v>
      </c>
      <c r="C253" s="18" t="s">
        <v>46</v>
      </c>
    </row>
    <row r="254" spans="1:3" ht="13.5" thickBot="1" x14ac:dyDescent="0.25">
      <c r="A254" s="19">
        <v>44562</v>
      </c>
      <c r="B254" s="20" t="s">
        <v>37</v>
      </c>
      <c r="C254" s="21" t="s">
        <v>32</v>
      </c>
    </row>
    <row r="255" spans="1:3" ht="13.5" thickBot="1" x14ac:dyDescent="0.25">
      <c r="A255" s="22">
        <v>44620</v>
      </c>
      <c r="B255" s="23" t="s">
        <v>31</v>
      </c>
      <c r="C255" s="24" t="s">
        <v>33</v>
      </c>
    </row>
    <row r="256" spans="1:3" ht="13.5" thickBot="1" x14ac:dyDescent="0.25">
      <c r="A256" s="22">
        <v>44621</v>
      </c>
      <c r="B256" s="23" t="s">
        <v>34</v>
      </c>
      <c r="C256" s="24" t="s">
        <v>33</v>
      </c>
    </row>
    <row r="257" spans="1:3" ht="13.5" thickBot="1" x14ac:dyDescent="0.25">
      <c r="A257" s="22">
        <v>44666</v>
      </c>
      <c r="B257" s="23" t="s">
        <v>35</v>
      </c>
      <c r="C257" s="24" t="s">
        <v>36</v>
      </c>
    </row>
    <row r="258" spans="1:3" ht="13.5" thickBot="1" x14ac:dyDescent="0.25">
      <c r="A258" s="22">
        <v>44672</v>
      </c>
      <c r="B258" s="23" t="s">
        <v>40</v>
      </c>
      <c r="C258" s="24" t="s">
        <v>38</v>
      </c>
    </row>
    <row r="259" spans="1:3" ht="13.5" thickBot="1" x14ac:dyDescent="0.25">
      <c r="A259" s="22">
        <v>44682</v>
      </c>
      <c r="B259" s="23" t="s">
        <v>47</v>
      </c>
      <c r="C259" s="24" t="s">
        <v>39</v>
      </c>
    </row>
    <row r="260" spans="1:3" ht="13.5" thickBot="1" x14ac:dyDescent="0.25">
      <c r="A260" s="22">
        <v>44728</v>
      </c>
      <c r="B260" s="23" t="s">
        <v>40</v>
      </c>
      <c r="C260" s="24" t="s">
        <v>41</v>
      </c>
    </row>
    <row r="261" spans="1:3" ht="13.5" thickBot="1" x14ac:dyDescent="0.25">
      <c r="A261" s="22">
        <v>44811</v>
      </c>
      <c r="B261" s="23" t="s">
        <v>48</v>
      </c>
      <c r="C261" s="24" t="s">
        <v>42</v>
      </c>
    </row>
    <row r="262" spans="1:3" ht="14.25" thickBot="1" x14ac:dyDescent="0.25">
      <c r="A262" s="22">
        <v>44846</v>
      </c>
      <c r="B262" s="23" t="s">
        <v>48</v>
      </c>
      <c r="C262" s="24" t="s">
        <v>43</v>
      </c>
    </row>
    <row r="263" spans="1:3" ht="13.5" thickBot="1" x14ac:dyDescent="0.25">
      <c r="A263" s="22">
        <v>44867</v>
      </c>
      <c r="B263" s="23" t="s">
        <v>48</v>
      </c>
      <c r="C263" s="24" t="s">
        <v>44</v>
      </c>
    </row>
    <row r="264" spans="1:3" ht="13.5" thickBot="1" x14ac:dyDescent="0.25">
      <c r="A264" s="22">
        <v>44880</v>
      </c>
      <c r="B264" s="23" t="s">
        <v>34</v>
      </c>
      <c r="C264" s="24" t="s">
        <v>45</v>
      </c>
    </row>
    <row r="265" spans="1:3" ht="13.5" thickBot="1" x14ac:dyDescent="0.25">
      <c r="A265" s="22">
        <v>44920</v>
      </c>
      <c r="B265" s="23" t="s">
        <v>47</v>
      </c>
      <c r="C265" s="24" t="s">
        <v>46</v>
      </c>
    </row>
    <row r="266" spans="1:3" ht="13.5" thickBot="1" x14ac:dyDescent="0.25">
      <c r="A266" s="25">
        <v>44927</v>
      </c>
      <c r="B266" s="26" t="s">
        <v>47</v>
      </c>
      <c r="C266" s="27" t="s">
        <v>32</v>
      </c>
    </row>
    <row r="267" spans="1:3" ht="13.5" thickBot="1" x14ac:dyDescent="0.25">
      <c r="A267" s="16">
        <v>44977</v>
      </c>
      <c r="B267" s="17" t="s">
        <v>31</v>
      </c>
      <c r="C267" s="18" t="s">
        <v>33</v>
      </c>
    </row>
    <row r="268" spans="1:3" ht="13.5" thickBot="1" x14ac:dyDescent="0.25">
      <c r="A268" s="16">
        <v>44978</v>
      </c>
      <c r="B268" s="17" t="s">
        <v>34</v>
      </c>
      <c r="C268" s="18" t="s">
        <v>33</v>
      </c>
    </row>
    <row r="269" spans="1:3" ht="13.5" thickBot="1" x14ac:dyDescent="0.25">
      <c r="A269" s="16">
        <v>45023</v>
      </c>
      <c r="B269" s="17" t="s">
        <v>35</v>
      </c>
      <c r="C269" s="18" t="s">
        <v>36</v>
      </c>
    </row>
    <row r="270" spans="1:3" ht="13.5" thickBot="1" x14ac:dyDescent="0.25">
      <c r="A270" s="16">
        <v>45037</v>
      </c>
      <c r="B270" s="17" t="s">
        <v>35</v>
      </c>
      <c r="C270" s="18" t="s">
        <v>38</v>
      </c>
    </row>
    <row r="271" spans="1:3" ht="13.5" thickBot="1" x14ac:dyDescent="0.25">
      <c r="A271" s="16">
        <v>45047</v>
      </c>
      <c r="B271" s="17" t="s">
        <v>31</v>
      </c>
      <c r="C271" s="18" t="s">
        <v>39</v>
      </c>
    </row>
    <row r="272" spans="1:3" ht="13.5" thickBot="1" x14ac:dyDescent="0.25">
      <c r="A272" s="16">
        <v>45085</v>
      </c>
      <c r="B272" s="17" t="s">
        <v>40</v>
      </c>
      <c r="C272" s="18" t="s">
        <v>41</v>
      </c>
    </row>
    <row r="273" spans="1:3" ht="13.5" thickBot="1" x14ac:dyDescent="0.25">
      <c r="A273" s="16">
        <v>45176</v>
      </c>
      <c r="B273" s="17" t="s">
        <v>40</v>
      </c>
      <c r="C273" s="18" t="s">
        <v>42</v>
      </c>
    </row>
    <row r="274" spans="1:3" ht="14.25" thickBot="1" x14ac:dyDescent="0.25">
      <c r="A274" s="16">
        <v>45211</v>
      </c>
      <c r="B274" s="17" t="s">
        <v>40</v>
      </c>
      <c r="C274" s="18" t="s">
        <v>43</v>
      </c>
    </row>
    <row r="275" spans="1:3" ht="13.5" thickBot="1" x14ac:dyDescent="0.25">
      <c r="A275" s="16">
        <v>45232</v>
      </c>
      <c r="B275" s="17" t="s">
        <v>40</v>
      </c>
      <c r="C275" s="18" t="s">
        <v>44</v>
      </c>
    </row>
    <row r="276" spans="1:3" ht="13.5" thickBot="1" x14ac:dyDescent="0.25">
      <c r="A276" s="16">
        <v>45245</v>
      </c>
      <c r="B276" s="17" t="s">
        <v>48</v>
      </c>
      <c r="C276" s="18" t="s">
        <v>45</v>
      </c>
    </row>
    <row r="277" spans="1:3" ht="13.5" thickBot="1" x14ac:dyDescent="0.25">
      <c r="A277" s="16">
        <v>45285</v>
      </c>
      <c r="B277" s="17" t="s">
        <v>31</v>
      </c>
      <c r="C277" s="18" t="s">
        <v>46</v>
      </c>
    </row>
    <row r="278" spans="1:3" ht="13.5" thickBot="1" x14ac:dyDescent="0.25">
      <c r="A278" s="19">
        <v>45292</v>
      </c>
      <c r="B278" s="20" t="s">
        <v>31</v>
      </c>
      <c r="C278" s="21" t="s">
        <v>32</v>
      </c>
    </row>
    <row r="279" spans="1:3" ht="13.5" thickBot="1" x14ac:dyDescent="0.25">
      <c r="A279" s="22">
        <v>45334</v>
      </c>
      <c r="B279" s="23" t="s">
        <v>31</v>
      </c>
      <c r="C279" s="24" t="s">
        <v>33</v>
      </c>
    </row>
    <row r="280" spans="1:3" ht="13.5" thickBot="1" x14ac:dyDescent="0.25">
      <c r="A280" s="22">
        <v>45335</v>
      </c>
      <c r="B280" s="23" t="s">
        <v>34</v>
      </c>
      <c r="C280" s="24" t="s">
        <v>33</v>
      </c>
    </row>
    <row r="281" spans="1:3" ht="13.5" thickBot="1" x14ac:dyDescent="0.25">
      <c r="A281" s="22">
        <v>45380</v>
      </c>
      <c r="B281" s="23" t="s">
        <v>35</v>
      </c>
      <c r="C281" s="24" t="s">
        <v>36</v>
      </c>
    </row>
    <row r="282" spans="1:3" ht="13.5" thickBot="1" x14ac:dyDescent="0.25">
      <c r="A282" s="22">
        <v>45403</v>
      </c>
      <c r="B282" s="23" t="s">
        <v>47</v>
      </c>
      <c r="C282" s="24" t="s">
        <v>38</v>
      </c>
    </row>
    <row r="283" spans="1:3" ht="13.5" thickBot="1" x14ac:dyDescent="0.25">
      <c r="A283" s="22">
        <v>45413</v>
      </c>
      <c r="B283" s="23" t="s">
        <v>48</v>
      </c>
      <c r="C283" s="24" t="s">
        <v>39</v>
      </c>
    </row>
    <row r="284" spans="1:3" ht="13.5" thickBot="1" x14ac:dyDescent="0.25">
      <c r="A284" s="22">
        <v>45442</v>
      </c>
      <c r="B284" s="23" t="s">
        <v>40</v>
      </c>
      <c r="C284" s="24" t="s">
        <v>41</v>
      </c>
    </row>
    <row r="285" spans="1:3" ht="13.5" thickBot="1" x14ac:dyDescent="0.25">
      <c r="A285" s="22">
        <v>45542</v>
      </c>
      <c r="B285" s="23" t="s">
        <v>37</v>
      </c>
      <c r="C285" s="24" t="s">
        <v>42</v>
      </c>
    </row>
    <row r="286" spans="1:3" ht="14.25" thickBot="1" x14ac:dyDescent="0.25">
      <c r="A286" s="22">
        <v>45577</v>
      </c>
      <c r="B286" s="23" t="s">
        <v>37</v>
      </c>
      <c r="C286" s="24" t="s">
        <v>43</v>
      </c>
    </row>
    <row r="287" spans="1:3" ht="13.5" thickBot="1" x14ac:dyDescent="0.25">
      <c r="A287" s="22">
        <v>45598</v>
      </c>
      <c r="B287" s="23" t="s">
        <v>37</v>
      </c>
      <c r="C287" s="24" t="s">
        <v>44</v>
      </c>
    </row>
    <row r="288" spans="1:3" ht="13.5" thickBot="1" x14ac:dyDescent="0.25">
      <c r="A288" s="22">
        <v>45611</v>
      </c>
      <c r="B288" s="23" t="s">
        <v>35</v>
      </c>
      <c r="C288" s="24" t="s">
        <v>45</v>
      </c>
    </row>
    <row r="289" spans="1:3" ht="13.5" thickBot="1" x14ac:dyDescent="0.25">
      <c r="A289" s="22">
        <v>45651</v>
      </c>
      <c r="B289" s="23" t="s">
        <v>48</v>
      </c>
      <c r="C289" s="24" t="s">
        <v>46</v>
      </c>
    </row>
    <row r="290" spans="1:3" ht="13.5" thickBot="1" x14ac:dyDescent="0.25">
      <c r="A290" s="25">
        <v>45658</v>
      </c>
      <c r="B290" s="26" t="s">
        <v>48</v>
      </c>
      <c r="C290" s="27" t="s">
        <v>32</v>
      </c>
    </row>
    <row r="291" spans="1:3" ht="13.5" thickBot="1" x14ac:dyDescent="0.25">
      <c r="A291" s="16">
        <v>45719</v>
      </c>
      <c r="B291" s="17" t="s">
        <v>31</v>
      </c>
      <c r="C291" s="18" t="s">
        <v>33</v>
      </c>
    </row>
    <row r="292" spans="1:3" ht="13.5" thickBot="1" x14ac:dyDescent="0.25">
      <c r="A292" s="16">
        <v>45720</v>
      </c>
      <c r="B292" s="17" t="s">
        <v>34</v>
      </c>
      <c r="C292" s="18" t="s">
        <v>33</v>
      </c>
    </row>
    <row r="293" spans="1:3" ht="13.5" thickBot="1" x14ac:dyDescent="0.25">
      <c r="A293" s="16">
        <v>45765</v>
      </c>
      <c r="B293" s="17" t="s">
        <v>35</v>
      </c>
      <c r="C293" s="18" t="s">
        <v>36</v>
      </c>
    </row>
    <row r="294" spans="1:3" ht="13.5" thickBot="1" x14ac:dyDescent="0.25">
      <c r="A294" s="16">
        <v>45768</v>
      </c>
      <c r="B294" s="17" t="s">
        <v>31</v>
      </c>
      <c r="C294" s="18" t="s">
        <v>38</v>
      </c>
    </row>
    <row r="295" spans="1:3" ht="13.5" thickBot="1" x14ac:dyDescent="0.25">
      <c r="A295" s="16">
        <v>45778</v>
      </c>
      <c r="B295" s="17" t="s">
        <v>40</v>
      </c>
      <c r="C295" s="18" t="s">
        <v>39</v>
      </c>
    </row>
    <row r="296" spans="1:3" ht="13.5" thickBot="1" x14ac:dyDescent="0.25">
      <c r="A296" s="16">
        <v>45827</v>
      </c>
      <c r="B296" s="17" t="s">
        <v>40</v>
      </c>
      <c r="C296" s="18" t="s">
        <v>41</v>
      </c>
    </row>
    <row r="297" spans="1:3" ht="13.5" thickBot="1" x14ac:dyDescent="0.25">
      <c r="A297" s="16">
        <v>45907</v>
      </c>
      <c r="B297" s="17" t="s">
        <v>47</v>
      </c>
      <c r="C297" s="18" t="s">
        <v>42</v>
      </c>
    </row>
    <row r="298" spans="1:3" ht="14.25" thickBot="1" x14ac:dyDescent="0.25">
      <c r="A298" s="16">
        <v>45942</v>
      </c>
      <c r="B298" s="17" t="s">
        <v>47</v>
      </c>
      <c r="C298" s="18" t="s">
        <v>43</v>
      </c>
    </row>
    <row r="299" spans="1:3" ht="13.5" thickBot="1" x14ac:dyDescent="0.25">
      <c r="A299" s="16">
        <v>45963</v>
      </c>
      <c r="B299" s="17" t="s">
        <v>47</v>
      </c>
      <c r="C299" s="18" t="s">
        <v>44</v>
      </c>
    </row>
    <row r="300" spans="1:3" ht="13.5" thickBot="1" x14ac:dyDescent="0.25">
      <c r="A300" s="16">
        <v>45976</v>
      </c>
      <c r="B300" s="17" t="s">
        <v>37</v>
      </c>
      <c r="C300" s="18" t="s">
        <v>45</v>
      </c>
    </row>
    <row r="301" spans="1:3" ht="13.5" thickBot="1" x14ac:dyDescent="0.25">
      <c r="A301" s="16">
        <v>46016</v>
      </c>
      <c r="B301" s="17" t="s">
        <v>40</v>
      </c>
      <c r="C301" s="18" t="s">
        <v>46</v>
      </c>
    </row>
    <row r="302" spans="1:3" ht="13.5" thickBot="1" x14ac:dyDescent="0.25">
      <c r="A302" s="19">
        <v>46023</v>
      </c>
      <c r="B302" s="20" t="s">
        <v>40</v>
      </c>
      <c r="C302" s="21" t="s">
        <v>32</v>
      </c>
    </row>
    <row r="303" spans="1:3" ht="13.5" thickBot="1" x14ac:dyDescent="0.25">
      <c r="A303" s="22">
        <v>46069</v>
      </c>
      <c r="B303" s="23" t="s">
        <v>31</v>
      </c>
      <c r="C303" s="24" t="s">
        <v>33</v>
      </c>
    </row>
    <row r="304" spans="1:3" ht="13.5" thickBot="1" x14ac:dyDescent="0.25">
      <c r="A304" s="22">
        <v>46070</v>
      </c>
      <c r="B304" s="23" t="s">
        <v>34</v>
      </c>
      <c r="C304" s="24" t="s">
        <v>33</v>
      </c>
    </row>
    <row r="305" spans="1:3" ht="13.5" thickBot="1" x14ac:dyDescent="0.25">
      <c r="A305" s="22">
        <v>46115</v>
      </c>
      <c r="B305" s="23" t="s">
        <v>35</v>
      </c>
      <c r="C305" s="24" t="s">
        <v>36</v>
      </c>
    </row>
    <row r="306" spans="1:3" ht="13.5" thickBot="1" x14ac:dyDescent="0.25">
      <c r="A306" s="22">
        <v>46133</v>
      </c>
      <c r="B306" s="23" t="s">
        <v>34</v>
      </c>
      <c r="C306" s="24" t="s">
        <v>38</v>
      </c>
    </row>
    <row r="307" spans="1:3" ht="13.5" thickBot="1" x14ac:dyDescent="0.25">
      <c r="A307" s="22">
        <v>46143</v>
      </c>
      <c r="B307" s="23" t="s">
        <v>35</v>
      </c>
      <c r="C307" s="24" t="s">
        <v>39</v>
      </c>
    </row>
    <row r="308" spans="1:3" ht="13.5" thickBot="1" x14ac:dyDescent="0.25">
      <c r="A308" s="22">
        <v>46177</v>
      </c>
      <c r="B308" s="23" t="s">
        <v>40</v>
      </c>
      <c r="C308" s="24" t="s">
        <v>41</v>
      </c>
    </row>
    <row r="309" spans="1:3" ht="13.5" thickBot="1" x14ac:dyDescent="0.25">
      <c r="A309" s="22">
        <v>46272</v>
      </c>
      <c r="B309" s="23" t="s">
        <v>31</v>
      </c>
      <c r="C309" s="24" t="s">
        <v>42</v>
      </c>
    </row>
    <row r="310" spans="1:3" ht="14.25" thickBot="1" x14ac:dyDescent="0.25">
      <c r="A310" s="22">
        <v>46307</v>
      </c>
      <c r="B310" s="23" t="s">
        <v>31</v>
      </c>
      <c r="C310" s="24" t="s">
        <v>43</v>
      </c>
    </row>
    <row r="311" spans="1:3" ht="13.5" thickBot="1" x14ac:dyDescent="0.25">
      <c r="A311" s="22">
        <v>46328</v>
      </c>
      <c r="B311" s="23" t="s">
        <v>31</v>
      </c>
      <c r="C311" s="24" t="s">
        <v>44</v>
      </c>
    </row>
    <row r="312" spans="1:3" ht="13.5" thickBot="1" x14ac:dyDescent="0.25">
      <c r="A312" s="22">
        <v>46341</v>
      </c>
      <c r="B312" s="23" t="s">
        <v>47</v>
      </c>
      <c r="C312" s="24" t="s">
        <v>45</v>
      </c>
    </row>
    <row r="313" spans="1:3" ht="13.5" thickBot="1" x14ac:dyDescent="0.25">
      <c r="A313" s="22">
        <v>46381</v>
      </c>
      <c r="B313" s="23" t="s">
        <v>35</v>
      </c>
      <c r="C313" s="24" t="s">
        <v>46</v>
      </c>
    </row>
    <row r="314" spans="1:3" ht="13.5" thickBot="1" x14ac:dyDescent="0.25">
      <c r="A314" s="25">
        <v>46388</v>
      </c>
      <c r="B314" s="26" t="s">
        <v>35</v>
      </c>
      <c r="C314" s="27" t="s">
        <v>32</v>
      </c>
    </row>
    <row r="315" spans="1:3" ht="13.5" thickBot="1" x14ac:dyDescent="0.25">
      <c r="A315" s="16">
        <v>46426</v>
      </c>
      <c r="B315" s="17" t="s">
        <v>31</v>
      </c>
      <c r="C315" s="18" t="s">
        <v>33</v>
      </c>
    </row>
    <row r="316" spans="1:3" ht="13.5" thickBot="1" x14ac:dyDescent="0.25">
      <c r="A316" s="16">
        <v>46427</v>
      </c>
      <c r="B316" s="17" t="s">
        <v>34</v>
      </c>
      <c r="C316" s="18" t="s">
        <v>33</v>
      </c>
    </row>
    <row r="317" spans="1:3" ht="13.5" thickBot="1" x14ac:dyDescent="0.25">
      <c r="A317" s="16">
        <v>46472</v>
      </c>
      <c r="B317" s="17" t="s">
        <v>35</v>
      </c>
      <c r="C317" s="18" t="s">
        <v>36</v>
      </c>
    </row>
    <row r="318" spans="1:3" ht="13.5" thickBot="1" x14ac:dyDescent="0.25">
      <c r="A318" s="16">
        <v>46498</v>
      </c>
      <c r="B318" s="17" t="s">
        <v>48</v>
      </c>
      <c r="C318" s="18" t="s">
        <v>38</v>
      </c>
    </row>
    <row r="319" spans="1:3" ht="13.5" thickBot="1" x14ac:dyDescent="0.25">
      <c r="A319" s="16">
        <v>46508</v>
      </c>
      <c r="B319" s="17" t="s">
        <v>37</v>
      </c>
      <c r="C319" s="18" t="s">
        <v>39</v>
      </c>
    </row>
    <row r="320" spans="1:3" ht="13.5" thickBot="1" x14ac:dyDescent="0.25">
      <c r="A320" s="16">
        <v>46534</v>
      </c>
      <c r="B320" s="17" t="s">
        <v>40</v>
      </c>
      <c r="C320" s="18" t="s">
        <v>41</v>
      </c>
    </row>
    <row r="321" spans="1:3" ht="13.5" thickBot="1" x14ac:dyDescent="0.25">
      <c r="A321" s="16">
        <v>46637</v>
      </c>
      <c r="B321" s="17" t="s">
        <v>34</v>
      </c>
      <c r="C321" s="18" t="s">
        <v>42</v>
      </c>
    </row>
    <row r="322" spans="1:3" ht="14.25" thickBot="1" x14ac:dyDescent="0.25">
      <c r="A322" s="16">
        <v>46672</v>
      </c>
      <c r="B322" s="17" t="s">
        <v>34</v>
      </c>
      <c r="C322" s="18" t="s">
        <v>43</v>
      </c>
    </row>
    <row r="323" spans="1:3" ht="13.5" thickBot="1" x14ac:dyDescent="0.25">
      <c r="A323" s="16">
        <v>46693</v>
      </c>
      <c r="B323" s="17" t="s">
        <v>34</v>
      </c>
      <c r="C323" s="18" t="s">
        <v>44</v>
      </c>
    </row>
    <row r="324" spans="1:3" ht="13.5" thickBot="1" x14ac:dyDescent="0.25">
      <c r="A324" s="16">
        <v>46706</v>
      </c>
      <c r="B324" s="17" t="s">
        <v>31</v>
      </c>
      <c r="C324" s="18" t="s">
        <v>45</v>
      </c>
    </row>
    <row r="325" spans="1:3" ht="13.5" thickBot="1" x14ac:dyDescent="0.25">
      <c r="A325" s="16">
        <v>46746</v>
      </c>
      <c r="B325" s="17" t="s">
        <v>37</v>
      </c>
      <c r="C325" s="18" t="s">
        <v>46</v>
      </c>
    </row>
    <row r="326" spans="1:3" ht="13.5" thickBot="1" x14ac:dyDescent="0.25">
      <c r="A326" s="19">
        <v>46753</v>
      </c>
      <c r="B326" s="20" t="s">
        <v>37</v>
      </c>
      <c r="C326" s="21" t="s">
        <v>32</v>
      </c>
    </row>
    <row r="327" spans="1:3" ht="13.5" thickBot="1" x14ac:dyDescent="0.25">
      <c r="A327" s="22">
        <v>46811</v>
      </c>
      <c r="B327" s="23" t="s">
        <v>31</v>
      </c>
      <c r="C327" s="24" t="s">
        <v>33</v>
      </c>
    </row>
    <row r="328" spans="1:3" ht="13.5" thickBot="1" x14ac:dyDescent="0.25">
      <c r="A328" s="22">
        <v>46812</v>
      </c>
      <c r="B328" s="23" t="s">
        <v>34</v>
      </c>
      <c r="C328" s="24" t="s">
        <v>33</v>
      </c>
    </row>
    <row r="329" spans="1:3" ht="13.5" thickBot="1" x14ac:dyDescent="0.25">
      <c r="A329" s="22">
        <v>46857</v>
      </c>
      <c r="B329" s="23" t="s">
        <v>35</v>
      </c>
      <c r="C329" s="24" t="s">
        <v>36</v>
      </c>
    </row>
    <row r="330" spans="1:3" ht="13.5" thickBot="1" x14ac:dyDescent="0.25">
      <c r="A330" s="22">
        <v>46864</v>
      </c>
      <c r="B330" s="23" t="s">
        <v>35</v>
      </c>
      <c r="C330" s="24" t="s">
        <v>38</v>
      </c>
    </row>
    <row r="331" spans="1:3" ht="13.5" thickBot="1" x14ac:dyDescent="0.25">
      <c r="A331" s="22">
        <v>46874</v>
      </c>
      <c r="B331" s="23" t="s">
        <v>31</v>
      </c>
      <c r="C331" s="24" t="s">
        <v>39</v>
      </c>
    </row>
    <row r="332" spans="1:3" ht="13.5" thickBot="1" x14ac:dyDescent="0.25">
      <c r="A332" s="22">
        <v>46919</v>
      </c>
      <c r="B332" s="23" t="s">
        <v>40</v>
      </c>
      <c r="C332" s="24" t="s">
        <v>41</v>
      </c>
    </row>
    <row r="333" spans="1:3" ht="13.5" thickBot="1" x14ac:dyDescent="0.25">
      <c r="A333" s="22">
        <v>47003</v>
      </c>
      <c r="B333" s="23" t="s">
        <v>40</v>
      </c>
      <c r="C333" s="24" t="s">
        <v>42</v>
      </c>
    </row>
    <row r="334" spans="1:3" ht="14.25" thickBot="1" x14ac:dyDescent="0.25">
      <c r="A334" s="22">
        <v>47038</v>
      </c>
      <c r="B334" s="23" t="s">
        <v>40</v>
      </c>
      <c r="C334" s="24" t="s">
        <v>43</v>
      </c>
    </row>
    <row r="335" spans="1:3" ht="13.5" thickBot="1" x14ac:dyDescent="0.25">
      <c r="A335" s="22">
        <v>47059</v>
      </c>
      <c r="B335" s="23" t="s">
        <v>40</v>
      </c>
      <c r="C335" s="24" t="s">
        <v>44</v>
      </c>
    </row>
    <row r="336" spans="1:3" ht="13.5" thickBot="1" x14ac:dyDescent="0.25">
      <c r="A336" s="22">
        <v>47072</v>
      </c>
      <c r="B336" s="23" t="s">
        <v>48</v>
      </c>
      <c r="C336" s="24" t="s">
        <v>45</v>
      </c>
    </row>
    <row r="337" spans="1:3" ht="13.5" thickBot="1" x14ac:dyDescent="0.25">
      <c r="A337" s="22">
        <v>47112</v>
      </c>
      <c r="B337" s="23" t="s">
        <v>31</v>
      </c>
      <c r="C337" s="24" t="s">
        <v>46</v>
      </c>
    </row>
    <row r="338" spans="1:3" ht="13.5" thickBot="1" x14ac:dyDescent="0.25">
      <c r="A338" s="25">
        <v>47119</v>
      </c>
      <c r="B338" s="26" t="s">
        <v>31</v>
      </c>
      <c r="C338" s="27" t="s">
        <v>32</v>
      </c>
    </row>
    <row r="339" spans="1:3" ht="13.5" thickBot="1" x14ac:dyDescent="0.25">
      <c r="A339" s="16">
        <v>47161</v>
      </c>
      <c r="B339" s="17" t="s">
        <v>31</v>
      </c>
      <c r="C339" s="18" t="s">
        <v>33</v>
      </c>
    </row>
    <row r="340" spans="1:3" ht="13.5" thickBot="1" x14ac:dyDescent="0.25">
      <c r="A340" s="16">
        <v>47162</v>
      </c>
      <c r="B340" s="17" t="s">
        <v>34</v>
      </c>
      <c r="C340" s="18" t="s">
        <v>33</v>
      </c>
    </row>
    <row r="341" spans="1:3" ht="13.5" thickBot="1" x14ac:dyDescent="0.25">
      <c r="A341" s="16">
        <v>47207</v>
      </c>
      <c r="B341" s="17" t="s">
        <v>35</v>
      </c>
      <c r="C341" s="18" t="s">
        <v>36</v>
      </c>
    </row>
    <row r="342" spans="1:3" ht="13.5" thickBot="1" x14ac:dyDescent="0.25">
      <c r="A342" s="16">
        <v>47229</v>
      </c>
      <c r="B342" s="17" t="s">
        <v>37</v>
      </c>
      <c r="C342" s="18" t="s">
        <v>38</v>
      </c>
    </row>
    <row r="343" spans="1:3" ht="13.5" thickBot="1" x14ac:dyDescent="0.25">
      <c r="A343" s="16">
        <v>47239</v>
      </c>
      <c r="B343" s="17" t="s">
        <v>34</v>
      </c>
      <c r="C343" s="18" t="s">
        <v>39</v>
      </c>
    </row>
    <row r="344" spans="1:3" ht="13.5" thickBot="1" x14ac:dyDescent="0.25">
      <c r="A344" s="16">
        <v>47269</v>
      </c>
      <c r="B344" s="17" t="s">
        <v>40</v>
      </c>
      <c r="C344" s="18" t="s">
        <v>41</v>
      </c>
    </row>
    <row r="345" spans="1:3" ht="13.5" thickBot="1" x14ac:dyDescent="0.25">
      <c r="A345" s="16">
        <v>47368</v>
      </c>
      <c r="B345" s="17" t="s">
        <v>35</v>
      </c>
      <c r="C345" s="18" t="s">
        <v>42</v>
      </c>
    </row>
    <row r="346" spans="1:3" ht="14.25" thickBot="1" x14ac:dyDescent="0.25">
      <c r="A346" s="16">
        <v>47403</v>
      </c>
      <c r="B346" s="17" t="s">
        <v>35</v>
      </c>
      <c r="C346" s="18" t="s">
        <v>43</v>
      </c>
    </row>
    <row r="347" spans="1:3" ht="13.5" thickBot="1" x14ac:dyDescent="0.25">
      <c r="A347" s="16">
        <v>47424</v>
      </c>
      <c r="B347" s="17" t="s">
        <v>35</v>
      </c>
      <c r="C347" s="18" t="s">
        <v>44</v>
      </c>
    </row>
    <row r="348" spans="1:3" ht="13.5" thickBot="1" x14ac:dyDescent="0.25">
      <c r="A348" s="16">
        <v>47437</v>
      </c>
      <c r="B348" s="17" t="s">
        <v>40</v>
      </c>
      <c r="C348" s="18" t="s">
        <v>45</v>
      </c>
    </row>
    <row r="349" spans="1:3" ht="13.5" thickBot="1" x14ac:dyDescent="0.25">
      <c r="A349" s="16">
        <v>47477</v>
      </c>
      <c r="B349" s="17" t="s">
        <v>34</v>
      </c>
      <c r="C349" s="18" t="s">
        <v>46</v>
      </c>
    </row>
    <row r="350" spans="1:3" ht="13.5" thickBot="1" x14ac:dyDescent="0.25">
      <c r="A350" s="19">
        <v>47484</v>
      </c>
      <c r="B350" s="20" t="s">
        <v>34</v>
      </c>
      <c r="C350" s="21" t="s">
        <v>32</v>
      </c>
    </row>
    <row r="351" spans="1:3" ht="13.5" thickBot="1" x14ac:dyDescent="0.25">
      <c r="A351" s="22">
        <v>47546</v>
      </c>
      <c r="B351" s="23" t="s">
        <v>31</v>
      </c>
      <c r="C351" s="24" t="s">
        <v>33</v>
      </c>
    </row>
    <row r="352" spans="1:3" ht="13.5" thickBot="1" x14ac:dyDescent="0.25">
      <c r="A352" s="22">
        <v>47547</v>
      </c>
      <c r="B352" s="23" t="s">
        <v>34</v>
      </c>
      <c r="C352" s="24" t="s">
        <v>33</v>
      </c>
    </row>
    <row r="353" spans="1:3" ht="13.5" thickBot="1" x14ac:dyDescent="0.25">
      <c r="A353" s="22">
        <v>47592</v>
      </c>
      <c r="B353" s="23" t="s">
        <v>35</v>
      </c>
      <c r="C353" s="24" t="s">
        <v>36</v>
      </c>
    </row>
    <row r="354" spans="1:3" ht="13.5" thickBot="1" x14ac:dyDescent="0.25">
      <c r="A354" s="22">
        <v>47594</v>
      </c>
      <c r="B354" s="23" t="s">
        <v>47</v>
      </c>
      <c r="C354" s="24" t="s">
        <v>38</v>
      </c>
    </row>
    <row r="355" spans="1:3" ht="13.5" thickBot="1" x14ac:dyDescent="0.25">
      <c r="A355" s="22">
        <v>47604</v>
      </c>
      <c r="B355" s="23" t="s">
        <v>48</v>
      </c>
      <c r="C355" s="24" t="s">
        <v>39</v>
      </c>
    </row>
    <row r="356" spans="1:3" ht="13.5" thickBot="1" x14ac:dyDescent="0.25">
      <c r="A356" s="22">
        <v>47654</v>
      </c>
      <c r="B356" s="23" t="s">
        <v>40</v>
      </c>
      <c r="C356" s="24" t="s">
        <v>41</v>
      </c>
    </row>
    <row r="357" spans="1:3" ht="13.5" thickBot="1" x14ac:dyDescent="0.25">
      <c r="A357" s="22">
        <v>47733</v>
      </c>
      <c r="B357" s="23" t="s">
        <v>37</v>
      </c>
      <c r="C357" s="24" t="s">
        <v>42</v>
      </c>
    </row>
    <row r="358" spans="1:3" ht="14.25" thickBot="1" x14ac:dyDescent="0.25">
      <c r="A358" s="22">
        <v>47768</v>
      </c>
      <c r="B358" s="23" t="s">
        <v>37</v>
      </c>
      <c r="C358" s="24" t="s">
        <v>43</v>
      </c>
    </row>
    <row r="359" spans="1:3" ht="13.5" thickBot="1" x14ac:dyDescent="0.25">
      <c r="A359" s="22">
        <v>47789</v>
      </c>
      <c r="B359" s="23" t="s">
        <v>37</v>
      </c>
      <c r="C359" s="24" t="s">
        <v>44</v>
      </c>
    </row>
    <row r="360" spans="1:3" ht="13.5" thickBot="1" x14ac:dyDescent="0.25">
      <c r="A360" s="22">
        <v>47802</v>
      </c>
      <c r="B360" s="23" t="s">
        <v>35</v>
      </c>
      <c r="C360" s="24" t="s">
        <v>45</v>
      </c>
    </row>
    <row r="361" spans="1:3" ht="13.5" thickBot="1" x14ac:dyDescent="0.25">
      <c r="A361" s="22">
        <v>47842</v>
      </c>
      <c r="B361" s="23" t="s">
        <v>48</v>
      </c>
      <c r="C361" s="24" t="s">
        <v>46</v>
      </c>
    </row>
    <row r="362" spans="1:3" ht="13.5" thickBot="1" x14ac:dyDescent="0.25">
      <c r="A362" s="25">
        <v>47849</v>
      </c>
      <c r="B362" s="26" t="s">
        <v>48</v>
      </c>
      <c r="C362" s="27" t="s">
        <v>32</v>
      </c>
    </row>
    <row r="363" spans="1:3" ht="13.5" thickBot="1" x14ac:dyDescent="0.25">
      <c r="A363" s="16">
        <v>47903</v>
      </c>
      <c r="B363" s="17" t="s">
        <v>31</v>
      </c>
      <c r="C363" s="18" t="s">
        <v>33</v>
      </c>
    </row>
    <row r="364" spans="1:3" ht="13.5" thickBot="1" x14ac:dyDescent="0.25">
      <c r="A364" s="16">
        <v>47904</v>
      </c>
      <c r="B364" s="17" t="s">
        <v>34</v>
      </c>
      <c r="C364" s="18" t="s">
        <v>33</v>
      </c>
    </row>
    <row r="365" spans="1:3" ht="13.5" thickBot="1" x14ac:dyDescent="0.25">
      <c r="A365" s="16">
        <v>47949</v>
      </c>
      <c r="B365" s="17" t="s">
        <v>35</v>
      </c>
      <c r="C365" s="18" t="s">
        <v>36</v>
      </c>
    </row>
    <row r="366" spans="1:3" ht="13.5" thickBot="1" x14ac:dyDescent="0.25">
      <c r="A366" s="16">
        <v>47959</v>
      </c>
      <c r="B366" s="17" t="s">
        <v>31</v>
      </c>
      <c r="C366" s="18" t="s">
        <v>38</v>
      </c>
    </row>
    <row r="367" spans="1:3" ht="13.5" thickBot="1" x14ac:dyDescent="0.25">
      <c r="A367" s="16">
        <v>47969</v>
      </c>
      <c r="B367" s="17" t="s">
        <v>40</v>
      </c>
      <c r="C367" s="18" t="s">
        <v>39</v>
      </c>
    </row>
    <row r="368" spans="1:3" ht="13.5" thickBot="1" x14ac:dyDescent="0.25">
      <c r="A368" s="16">
        <v>48011</v>
      </c>
      <c r="B368" s="17" t="s">
        <v>40</v>
      </c>
      <c r="C368" s="18" t="s">
        <v>41</v>
      </c>
    </row>
    <row r="369" spans="1:3" ht="13.5" thickBot="1" x14ac:dyDescent="0.25">
      <c r="A369" s="16">
        <v>48098</v>
      </c>
      <c r="B369" s="17" t="s">
        <v>47</v>
      </c>
      <c r="C369" s="18" t="s">
        <v>42</v>
      </c>
    </row>
    <row r="370" spans="1:3" ht="14.25" thickBot="1" x14ac:dyDescent="0.25">
      <c r="A370" s="16">
        <v>48133</v>
      </c>
      <c r="B370" s="17" t="s">
        <v>47</v>
      </c>
      <c r="C370" s="18" t="s">
        <v>43</v>
      </c>
    </row>
    <row r="371" spans="1:3" ht="13.5" thickBot="1" x14ac:dyDescent="0.25">
      <c r="A371" s="16">
        <v>48154</v>
      </c>
      <c r="B371" s="17" t="s">
        <v>47</v>
      </c>
      <c r="C371" s="18" t="s">
        <v>44</v>
      </c>
    </row>
    <row r="372" spans="1:3" ht="13.5" thickBot="1" x14ac:dyDescent="0.25">
      <c r="A372" s="16">
        <v>48167</v>
      </c>
      <c r="B372" s="17" t="s">
        <v>37</v>
      </c>
      <c r="C372" s="18" t="s">
        <v>45</v>
      </c>
    </row>
    <row r="373" spans="1:3" ht="13.5" thickBot="1" x14ac:dyDescent="0.25">
      <c r="A373" s="16">
        <v>48207</v>
      </c>
      <c r="B373" s="17" t="s">
        <v>40</v>
      </c>
      <c r="C373" s="18" t="s">
        <v>46</v>
      </c>
    </row>
    <row r="374" spans="1:3" ht="13.5" thickBot="1" x14ac:dyDescent="0.25">
      <c r="A374" s="19">
        <v>48214</v>
      </c>
      <c r="B374" s="20" t="s">
        <v>40</v>
      </c>
      <c r="C374" s="21" t="s">
        <v>32</v>
      </c>
    </row>
    <row r="375" spans="1:3" ht="13.5" thickBot="1" x14ac:dyDescent="0.25">
      <c r="A375" s="22">
        <v>48253</v>
      </c>
      <c r="B375" s="23" t="s">
        <v>31</v>
      </c>
      <c r="C375" s="24" t="s">
        <v>33</v>
      </c>
    </row>
    <row r="376" spans="1:3" ht="13.5" thickBot="1" x14ac:dyDescent="0.25">
      <c r="A376" s="22">
        <v>48254</v>
      </c>
      <c r="B376" s="23" t="s">
        <v>34</v>
      </c>
      <c r="C376" s="24" t="s">
        <v>33</v>
      </c>
    </row>
    <row r="377" spans="1:3" ht="13.5" thickBot="1" x14ac:dyDescent="0.25">
      <c r="A377" s="22">
        <v>48299</v>
      </c>
      <c r="B377" s="23" t="s">
        <v>35</v>
      </c>
      <c r="C377" s="24" t="s">
        <v>36</v>
      </c>
    </row>
    <row r="378" spans="1:3" ht="13.5" thickBot="1" x14ac:dyDescent="0.25">
      <c r="A378" s="22">
        <v>48325</v>
      </c>
      <c r="B378" s="23" t="s">
        <v>48</v>
      </c>
      <c r="C378" s="24" t="s">
        <v>38</v>
      </c>
    </row>
    <row r="379" spans="1:3" ht="13.5" thickBot="1" x14ac:dyDescent="0.25">
      <c r="A379" s="22">
        <v>48335</v>
      </c>
      <c r="B379" s="23" t="s">
        <v>37</v>
      </c>
      <c r="C379" s="24" t="s">
        <v>39</v>
      </c>
    </row>
    <row r="380" spans="1:3" ht="13.5" thickBot="1" x14ac:dyDescent="0.25">
      <c r="A380" s="22">
        <v>48361</v>
      </c>
      <c r="B380" s="23" t="s">
        <v>40</v>
      </c>
      <c r="C380" s="24" t="s">
        <v>41</v>
      </c>
    </row>
    <row r="381" spans="1:3" ht="13.5" thickBot="1" x14ac:dyDescent="0.25">
      <c r="A381" s="22">
        <v>48464</v>
      </c>
      <c r="B381" s="23" t="s">
        <v>34</v>
      </c>
      <c r="C381" s="24" t="s">
        <v>42</v>
      </c>
    </row>
    <row r="382" spans="1:3" ht="14.25" thickBot="1" x14ac:dyDescent="0.25">
      <c r="A382" s="22">
        <v>48499</v>
      </c>
      <c r="B382" s="23" t="s">
        <v>34</v>
      </c>
      <c r="C382" s="24" t="s">
        <v>43</v>
      </c>
    </row>
    <row r="383" spans="1:3" ht="13.5" thickBot="1" x14ac:dyDescent="0.25">
      <c r="A383" s="22">
        <v>48520</v>
      </c>
      <c r="B383" s="23" t="s">
        <v>34</v>
      </c>
      <c r="C383" s="24" t="s">
        <v>44</v>
      </c>
    </row>
    <row r="384" spans="1:3" ht="13.5" thickBot="1" x14ac:dyDescent="0.25">
      <c r="A384" s="22">
        <v>48533</v>
      </c>
      <c r="B384" s="23" t="s">
        <v>31</v>
      </c>
      <c r="C384" s="24" t="s">
        <v>45</v>
      </c>
    </row>
    <row r="385" spans="1:3" ht="13.5" thickBot="1" x14ac:dyDescent="0.25">
      <c r="A385" s="22">
        <v>48573</v>
      </c>
      <c r="B385" s="23" t="s">
        <v>37</v>
      </c>
      <c r="C385" s="24" t="s">
        <v>46</v>
      </c>
    </row>
    <row r="386" spans="1:3" ht="13.5" thickBot="1" x14ac:dyDescent="0.25">
      <c r="A386" s="19">
        <v>48580</v>
      </c>
      <c r="B386" s="20" t="s">
        <v>37</v>
      </c>
      <c r="C386" s="21" t="s">
        <v>32</v>
      </c>
    </row>
    <row r="387" spans="1:3" ht="13.5" thickBot="1" x14ac:dyDescent="0.25">
      <c r="A387" s="16">
        <v>48638</v>
      </c>
      <c r="B387" s="17" t="s">
        <v>31</v>
      </c>
      <c r="C387" s="18" t="s">
        <v>33</v>
      </c>
    </row>
    <row r="388" spans="1:3" ht="13.5" thickBot="1" x14ac:dyDescent="0.25">
      <c r="A388" s="16">
        <v>48639</v>
      </c>
      <c r="B388" s="17" t="s">
        <v>34</v>
      </c>
      <c r="C388" s="18" t="s">
        <v>33</v>
      </c>
    </row>
    <row r="389" spans="1:3" ht="13.5" thickBot="1" x14ac:dyDescent="0.25">
      <c r="A389" s="16">
        <v>48684</v>
      </c>
      <c r="B389" s="17" t="s">
        <v>35</v>
      </c>
      <c r="C389" s="18" t="s">
        <v>36</v>
      </c>
    </row>
    <row r="390" spans="1:3" ht="13.5" thickBot="1" x14ac:dyDescent="0.25">
      <c r="A390" s="16">
        <v>48690</v>
      </c>
      <c r="B390" s="17" t="s">
        <v>40</v>
      </c>
      <c r="C390" s="18" t="s">
        <v>38</v>
      </c>
    </row>
    <row r="391" spans="1:3" ht="13.5" thickBot="1" x14ac:dyDescent="0.25">
      <c r="A391" s="16">
        <v>48700</v>
      </c>
      <c r="B391" s="17" t="s">
        <v>47</v>
      </c>
      <c r="C391" s="18" t="s">
        <v>39</v>
      </c>
    </row>
    <row r="392" spans="1:3" ht="13.5" thickBot="1" x14ac:dyDescent="0.25">
      <c r="A392" s="16">
        <v>48746</v>
      </c>
      <c r="B392" s="17" t="s">
        <v>40</v>
      </c>
      <c r="C392" s="18" t="s">
        <v>41</v>
      </c>
    </row>
    <row r="393" spans="1:3" ht="13.5" thickBot="1" x14ac:dyDescent="0.25">
      <c r="A393" s="16">
        <v>48829</v>
      </c>
      <c r="B393" s="17" t="s">
        <v>48</v>
      </c>
      <c r="C393" s="18" t="s">
        <v>42</v>
      </c>
    </row>
    <row r="394" spans="1:3" ht="14.25" thickBot="1" x14ac:dyDescent="0.25">
      <c r="A394" s="16">
        <v>48864</v>
      </c>
      <c r="B394" s="17" t="s">
        <v>48</v>
      </c>
      <c r="C394" s="18" t="s">
        <v>43</v>
      </c>
    </row>
    <row r="395" spans="1:3" ht="13.5" thickBot="1" x14ac:dyDescent="0.25">
      <c r="A395" s="16">
        <v>48885</v>
      </c>
      <c r="B395" s="17" t="s">
        <v>48</v>
      </c>
      <c r="C395" s="18" t="s">
        <v>44</v>
      </c>
    </row>
    <row r="396" spans="1:3" ht="13.5" thickBot="1" x14ac:dyDescent="0.25">
      <c r="A396" s="16">
        <v>48898</v>
      </c>
      <c r="B396" s="17" t="s">
        <v>34</v>
      </c>
      <c r="C396" s="18" t="s">
        <v>45</v>
      </c>
    </row>
    <row r="397" spans="1:3" ht="13.5" thickBot="1" x14ac:dyDescent="0.25">
      <c r="A397" s="16">
        <v>48938</v>
      </c>
      <c r="B397" s="17" t="s">
        <v>47</v>
      </c>
      <c r="C397" s="18" t="s">
        <v>46</v>
      </c>
    </row>
    <row r="398" spans="1:3" ht="13.5" thickBot="1" x14ac:dyDescent="0.25">
      <c r="A398" s="19">
        <v>48945</v>
      </c>
      <c r="B398" s="20" t="s">
        <v>47</v>
      </c>
      <c r="C398" s="21" t="s">
        <v>32</v>
      </c>
    </row>
    <row r="399" spans="1:3" ht="13.5" thickBot="1" x14ac:dyDescent="0.25">
      <c r="A399" s="22">
        <v>48995</v>
      </c>
      <c r="B399" s="23" t="s">
        <v>31</v>
      </c>
      <c r="C399" s="24" t="s">
        <v>33</v>
      </c>
    </row>
    <row r="400" spans="1:3" ht="13.5" thickBot="1" x14ac:dyDescent="0.25">
      <c r="A400" s="22">
        <v>48996</v>
      </c>
      <c r="B400" s="23" t="s">
        <v>34</v>
      </c>
      <c r="C400" s="24" t="s">
        <v>33</v>
      </c>
    </row>
    <row r="401" spans="1:3" ht="13.5" thickBot="1" x14ac:dyDescent="0.25">
      <c r="A401" s="22">
        <v>49041</v>
      </c>
      <c r="B401" s="23" t="s">
        <v>35</v>
      </c>
      <c r="C401" s="24" t="s">
        <v>36</v>
      </c>
    </row>
    <row r="402" spans="1:3" ht="13.5" thickBot="1" x14ac:dyDescent="0.25">
      <c r="A402" s="22">
        <v>49055</v>
      </c>
      <c r="B402" s="23" t="s">
        <v>35</v>
      </c>
      <c r="C402" s="24" t="s">
        <v>38</v>
      </c>
    </row>
    <row r="403" spans="1:3" ht="13.5" thickBot="1" x14ac:dyDescent="0.25">
      <c r="A403" s="22">
        <v>49065</v>
      </c>
      <c r="B403" s="23" t="s">
        <v>31</v>
      </c>
      <c r="C403" s="24" t="s">
        <v>39</v>
      </c>
    </row>
    <row r="404" spans="1:3" ht="13.5" thickBot="1" x14ac:dyDescent="0.25">
      <c r="A404" s="22">
        <v>49103</v>
      </c>
      <c r="B404" s="23" t="s">
        <v>40</v>
      </c>
      <c r="C404" s="24" t="s">
        <v>41</v>
      </c>
    </row>
    <row r="405" spans="1:3" ht="13.5" thickBot="1" x14ac:dyDescent="0.25">
      <c r="A405" s="22">
        <v>49194</v>
      </c>
      <c r="B405" s="23" t="s">
        <v>40</v>
      </c>
      <c r="C405" s="24" t="s">
        <v>42</v>
      </c>
    </row>
    <row r="406" spans="1:3" ht="14.25" thickBot="1" x14ac:dyDescent="0.25">
      <c r="A406" s="22">
        <v>49229</v>
      </c>
      <c r="B406" s="23" t="s">
        <v>40</v>
      </c>
      <c r="C406" s="24" t="s">
        <v>43</v>
      </c>
    </row>
    <row r="407" spans="1:3" ht="13.5" thickBot="1" x14ac:dyDescent="0.25">
      <c r="A407" s="22">
        <v>49250</v>
      </c>
      <c r="B407" s="23" t="s">
        <v>40</v>
      </c>
      <c r="C407" s="24" t="s">
        <v>44</v>
      </c>
    </row>
    <row r="408" spans="1:3" ht="13.5" thickBot="1" x14ac:dyDescent="0.25">
      <c r="A408" s="22">
        <v>49263</v>
      </c>
      <c r="B408" s="23" t="s">
        <v>48</v>
      </c>
      <c r="C408" s="24" t="s">
        <v>45</v>
      </c>
    </row>
    <row r="409" spans="1:3" ht="13.5" thickBot="1" x14ac:dyDescent="0.25">
      <c r="A409" s="22">
        <v>49303</v>
      </c>
      <c r="B409" s="23" t="s">
        <v>31</v>
      </c>
      <c r="C409" s="24" t="s">
        <v>46</v>
      </c>
    </row>
    <row r="410" spans="1:3" ht="13.5" thickBot="1" x14ac:dyDescent="0.25">
      <c r="A410" s="25">
        <v>49310</v>
      </c>
      <c r="B410" s="26" t="s">
        <v>31</v>
      </c>
      <c r="C410" s="27" t="s">
        <v>32</v>
      </c>
    </row>
    <row r="411" spans="1:3" ht="13.5" thickBot="1" x14ac:dyDescent="0.25">
      <c r="A411" s="16">
        <v>49345</v>
      </c>
      <c r="B411" s="17" t="s">
        <v>31</v>
      </c>
      <c r="C411" s="18" t="s">
        <v>33</v>
      </c>
    </row>
    <row r="412" spans="1:3" ht="13.5" thickBot="1" x14ac:dyDescent="0.25">
      <c r="A412" s="16">
        <v>49346</v>
      </c>
      <c r="B412" s="17" t="s">
        <v>34</v>
      </c>
      <c r="C412" s="18" t="s">
        <v>33</v>
      </c>
    </row>
    <row r="413" spans="1:3" ht="13.5" thickBot="1" x14ac:dyDescent="0.25">
      <c r="A413" s="16">
        <v>49391</v>
      </c>
      <c r="B413" s="17" t="s">
        <v>35</v>
      </c>
      <c r="C413" s="18" t="s">
        <v>36</v>
      </c>
    </row>
    <row r="414" spans="1:3" ht="13.5" thickBot="1" x14ac:dyDescent="0.25">
      <c r="A414" s="16">
        <v>49420</v>
      </c>
      <c r="B414" s="17" t="s">
        <v>37</v>
      </c>
      <c r="C414" s="18" t="s">
        <v>38</v>
      </c>
    </row>
    <row r="415" spans="1:3" ht="13.5" thickBot="1" x14ac:dyDescent="0.25">
      <c r="A415" s="16">
        <v>49430</v>
      </c>
      <c r="B415" s="17" t="s">
        <v>34</v>
      </c>
      <c r="C415" s="18" t="s">
        <v>39</v>
      </c>
    </row>
    <row r="416" spans="1:3" ht="13.5" thickBot="1" x14ac:dyDescent="0.25">
      <c r="A416" s="16">
        <v>49453</v>
      </c>
      <c r="B416" s="17" t="s">
        <v>40</v>
      </c>
      <c r="C416" s="18" t="s">
        <v>41</v>
      </c>
    </row>
    <row r="417" spans="1:3" ht="13.5" thickBot="1" x14ac:dyDescent="0.25">
      <c r="A417" s="16">
        <v>49559</v>
      </c>
      <c r="B417" s="17" t="s">
        <v>35</v>
      </c>
      <c r="C417" s="18" t="s">
        <v>42</v>
      </c>
    </row>
    <row r="418" spans="1:3" ht="14.25" thickBot="1" x14ac:dyDescent="0.25">
      <c r="A418" s="16">
        <v>49594</v>
      </c>
      <c r="B418" s="17" t="s">
        <v>35</v>
      </c>
      <c r="C418" s="18" t="s">
        <v>43</v>
      </c>
    </row>
    <row r="419" spans="1:3" ht="13.5" thickBot="1" x14ac:dyDescent="0.25">
      <c r="A419" s="16">
        <v>49615</v>
      </c>
      <c r="B419" s="17" t="s">
        <v>35</v>
      </c>
      <c r="C419" s="18" t="s">
        <v>44</v>
      </c>
    </row>
    <row r="420" spans="1:3" ht="13.5" thickBot="1" x14ac:dyDescent="0.25">
      <c r="A420" s="16">
        <v>49628</v>
      </c>
      <c r="B420" s="17" t="s">
        <v>40</v>
      </c>
      <c r="C420" s="18" t="s">
        <v>45</v>
      </c>
    </row>
    <row r="421" spans="1:3" ht="13.5" thickBot="1" x14ac:dyDescent="0.25">
      <c r="A421" s="16">
        <v>49668</v>
      </c>
      <c r="B421" s="17" t="s">
        <v>34</v>
      </c>
      <c r="C421" s="18" t="s">
        <v>46</v>
      </c>
    </row>
    <row r="422" spans="1:3" ht="13.5" thickBot="1" x14ac:dyDescent="0.25">
      <c r="A422" s="19">
        <v>49675</v>
      </c>
      <c r="B422" s="20" t="s">
        <v>34</v>
      </c>
      <c r="C422" s="21" t="s">
        <v>32</v>
      </c>
    </row>
    <row r="423" spans="1:3" ht="13.5" thickBot="1" x14ac:dyDescent="0.25">
      <c r="A423" s="22">
        <v>49730</v>
      </c>
      <c r="B423" s="23" t="s">
        <v>31</v>
      </c>
      <c r="C423" s="24" t="s">
        <v>33</v>
      </c>
    </row>
    <row r="424" spans="1:3" ht="13.5" thickBot="1" x14ac:dyDescent="0.25">
      <c r="A424" s="22">
        <v>49731</v>
      </c>
      <c r="B424" s="23" t="s">
        <v>34</v>
      </c>
      <c r="C424" s="24" t="s">
        <v>33</v>
      </c>
    </row>
    <row r="425" spans="1:3" ht="13.5" thickBot="1" x14ac:dyDescent="0.25">
      <c r="A425" s="22">
        <v>49776</v>
      </c>
      <c r="B425" s="23" t="s">
        <v>35</v>
      </c>
      <c r="C425" s="24" t="s">
        <v>36</v>
      </c>
    </row>
    <row r="426" spans="1:3" ht="13.5" thickBot="1" x14ac:dyDescent="0.25">
      <c r="A426" s="22">
        <v>49786</v>
      </c>
      <c r="B426" s="23" t="s">
        <v>31</v>
      </c>
      <c r="C426" s="24" t="s">
        <v>38</v>
      </c>
    </row>
    <row r="427" spans="1:3" ht="13.5" thickBot="1" x14ac:dyDescent="0.25">
      <c r="A427" s="22">
        <v>49796</v>
      </c>
      <c r="B427" s="23" t="s">
        <v>40</v>
      </c>
      <c r="C427" s="24" t="s">
        <v>39</v>
      </c>
    </row>
    <row r="428" spans="1:3" ht="13.5" thickBot="1" x14ac:dyDescent="0.25">
      <c r="A428" s="22">
        <v>49838</v>
      </c>
      <c r="B428" s="23" t="s">
        <v>40</v>
      </c>
      <c r="C428" s="24" t="s">
        <v>41</v>
      </c>
    </row>
    <row r="429" spans="1:3" ht="13.5" thickBot="1" x14ac:dyDescent="0.25">
      <c r="A429" s="22">
        <v>49925</v>
      </c>
      <c r="B429" s="23" t="s">
        <v>47</v>
      </c>
      <c r="C429" s="24" t="s">
        <v>42</v>
      </c>
    </row>
    <row r="430" spans="1:3" ht="14.25" thickBot="1" x14ac:dyDescent="0.25">
      <c r="A430" s="22">
        <v>49960</v>
      </c>
      <c r="B430" s="23" t="s">
        <v>47</v>
      </c>
      <c r="C430" s="24" t="s">
        <v>43</v>
      </c>
    </row>
    <row r="431" spans="1:3" ht="13.5" thickBot="1" x14ac:dyDescent="0.25">
      <c r="A431" s="22">
        <v>49981</v>
      </c>
      <c r="B431" s="23" t="s">
        <v>47</v>
      </c>
      <c r="C431" s="24" t="s">
        <v>44</v>
      </c>
    </row>
    <row r="432" spans="1:3" ht="13.5" thickBot="1" x14ac:dyDescent="0.25">
      <c r="A432" s="22">
        <v>49994</v>
      </c>
      <c r="B432" s="23" t="s">
        <v>37</v>
      </c>
      <c r="C432" s="24" t="s">
        <v>45</v>
      </c>
    </row>
    <row r="433" spans="1:3" ht="13.5" thickBot="1" x14ac:dyDescent="0.25">
      <c r="A433" s="22">
        <v>50034</v>
      </c>
      <c r="B433" s="23" t="s">
        <v>40</v>
      </c>
      <c r="C433" s="24" t="s">
        <v>46</v>
      </c>
    </row>
    <row r="434" spans="1:3" ht="13.5" thickBot="1" x14ac:dyDescent="0.25">
      <c r="A434" s="25">
        <v>50041</v>
      </c>
      <c r="B434" s="26" t="s">
        <v>40</v>
      </c>
      <c r="C434" s="27" t="s">
        <v>32</v>
      </c>
    </row>
    <row r="435" spans="1:3" ht="13.5" thickBot="1" x14ac:dyDescent="0.25">
      <c r="A435" s="16">
        <v>50087</v>
      </c>
      <c r="B435" s="17" t="s">
        <v>31</v>
      </c>
      <c r="C435" s="18" t="s">
        <v>33</v>
      </c>
    </row>
    <row r="436" spans="1:3" ht="13.5" thickBot="1" x14ac:dyDescent="0.25">
      <c r="A436" s="16">
        <v>50088</v>
      </c>
      <c r="B436" s="17" t="s">
        <v>34</v>
      </c>
      <c r="C436" s="18" t="s">
        <v>33</v>
      </c>
    </row>
    <row r="437" spans="1:3" ht="13.5" thickBot="1" x14ac:dyDescent="0.25">
      <c r="A437" s="16">
        <v>50133</v>
      </c>
      <c r="B437" s="17" t="s">
        <v>35</v>
      </c>
      <c r="C437" s="18" t="s">
        <v>36</v>
      </c>
    </row>
    <row r="438" spans="1:3" ht="13.5" thickBot="1" x14ac:dyDescent="0.25">
      <c r="A438" s="16">
        <v>50151</v>
      </c>
      <c r="B438" s="17" t="s">
        <v>34</v>
      </c>
      <c r="C438" s="18" t="s">
        <v>38</v>
      </c>
    </row>
    <row r="439" spans="1:3" ht="13.5" thickBot="1" x14ac:dyDescent="0.25">
      <c r="A439" s="16">
        <v>50161</v>
      </c>
      <c r="B439" s="17" t="s">
        <v>35</v>
      </c>
      <c r="C439" s="18" t="s">
        <v>39</v>
      </c>
    </row>
    <row r="440" spans="1:3" ht="13.5" thickBot="1" x14ac:dyDescent="0.25">
      <c r="A440" s="16">
        <v>50195</v>
      </c>
      <c r="B440" s="17" t="s">
        <v>40</v>
      </c>
      <c r="C440" s="18" t="s">
        <v>41</v>
      </c>
    </row>
    <row r="441" spans="1:3" ht="13.5" thickBot="1" x14ac:dyDescent="0.25">
      <c r="A441" s="16">
        <v>50290</v>
      </c>
      <c r="B441" s="17" t="s">
        <v>31</v>
      </c>
      <c r="C441" s="18" t="s">
        <v>42</v>
      </c>
    </row>
    <row r="442" spans="1:3" ht="14.25" thickBot="1" x14ac:dyDescent="0.25">
      <c r="A442" s="16">
        <v>50325</v>
      </c>
      <c r="B442" s="17" t="s">
        <v>31</v>
      </c>
      <c r="C442" s="18" t="s">
        <v>43</v>
      </c>
    </row>
    <row r="443" spans="1:3" ht="13.5" thickBot="1" x14ac:dyDescent="0.25">
      <c r="A443" s="16">
        <v>50346</v>
      </c>
      <c r="B443" s="17" t="s">
        <v>31</v>
      </c>
      <c r="C443" s="18" t="s">
        <v>44</v>
      </c>
    </row>
    <row r="444" spans="1:3" ht="13.5" thickBot="1" x14ac:dyDescent="0.25">
      <c r="A444" s="16">
        <v>50359</v>
      </c>
      <c r="B444" s="17" t="s">
        <v>47</v>
      </c>
      <c r="C444" s="18" t="s">
        <v>45</v>
      </c>
    </row>
    <row r="445" spans="1:3" ht="13.5" thickBot="1" x14ac:dyDescent="0.25">
      <c r="A445" s="16">
        <v>50399</v>
      </c>
      <c r="B445" s="17" t="s">
        <v>35</v>
      </c>
      <c r="C445" s="18" t="s">
        <v>46</v>
      </c>
    </row>
    <row r="446" spans="1:3" ht="13.5" thickBot="1" x14ac:dyDescent="0.25">
      <c r="A446" s="19">
        <v>50406</v>
      </c>
      <c r="B446" s="20" t="s">
        <v>35</v>
      </c>
      <c r="C446" s="21" t="s">
        <v>32</v>
      </c>
    </row>
    <row r="447" spans="1:3" ht="13.5" thickBot="1" x14ac:dyDescent="0.25">
      <c r="A447" s="22">
        <v>50472</v>
      </c>
      <c r="B447" s="23" t="s">
        <v>31</v>
      </c>
      <c r="C447" s="24" t="s">
        <v>33</v>
      </c>
    </row>
    <row r="448" spans="1:3" ht="13.5" thickBot="1" x14ac:dyDescent="0.25">
      <c r="A448" s="22">
        <v>50473</v>
      </c>
      <c r="B448" s="23" t="s">
        <v>34</v>
      </c>
      <c r="C448" s="24" t="s">
        <v>33</v>
      </c>
    </row>
    <row r="449" spans="1:3" ht="13.5" thickBot="1" x14ac:dyDescent="0.25">
      <c r="A449" s="22">
        <v>50516</v>
      </c>
      <c r="B449" s="23" t="s">
        <v>48</v>
      </c>
      <c r="C449" s="24" t="s">
        <v>38</v>
      </c>
    </row>
    <row r="450" spans="1:3" ht="13.5" thickBot="1" x14ac:dyDescent="0.25">
      <c r="A450" s="22">
        <v>50518</v>
      </c>
      <c r="B450" s="23" t="s">
        <v>35</v>
      </c>
      <c r="C450" s="24" t="s">
        <v>36</v>
      </c>
    </row>
    <row r="451" spans="1:3" ht="13.5" thickBot="1" x14ac:dyDescent="0.25">
      <c r="A451" s="22">
        <v>50526</v>
      </c>
      <c r="B451" s="23" t="s">
        <v>37</v>
      </c>
      <c r="C451" s="24" t="s">
        <v>39</v>
      </c>
    </row>
    <row r="452" spans="1:3" ht="13.5" thickBot="1" x14ac:dyDescent="0.25">
      <c r="A452" s="22">
        <v>50580</v>
      </c>
      <c r="B452" s="23" t="s">
        <v>40</v>
      </c>
      <c r="C452" s="24" t="s">
        <v>41</v>
      </c>
    </row>
    <row r="453" spans="1:3" ht="13.5" thickBot="1" x14ac:dyDescent="0.25">
      <c r="A453" s="22">
        <v>50655</v>
      </c>
      <c r="B453" s="23" t="s">
        <v>34</v>
      </c>
      <c r="C453" s="24" t="s">
        <v>42</v>
      </c>
    </row>
    <row r="454" spans="1:3" ht="14.25" thickBot="1" x14ac:dyDescent="0.25">
      <c r="A454" s="22">
        <v>50690</v>
      </c>
      <c r="B454" s="23" t="s">
        <v>34</v>
      </c>
      <c r="C454" s="24" t="s">
        <v>43</v>
      </c>
    </row>
    <row r="455" spans="1:3" ht="13.5" thickBot="1" x14ac:dyDescent="0.25">
      <c r="A455" s="22">
        <v>50711</v>
      </c>
      <c r="B455" s="23" t="s">
        <v>34</v>
      </c>
      <c r="C455" s="24" t="s">
        <v>44</v>
      </c>
    </row>
    <row r="456" spans="1:3" ht="13.5" thickBot="1" x14ac:dyDescent="0.25">
      <c r="A456" s="22">
        <v>50724</v>
      </c>
      <c r="B456" s="23" t="s">
        <v>31</v>
      </c>
      <c r="C456" s="24" t="s">
        <v>45</v>
      </c>
    </row>
    <row r="457" spans="1:3" ht="13.5" thickBot="1" x14ac:dyDescent="0.25">
      <c r="A457" s="22">
        <v>50764</v>
      </c>
      <c r="B457" s="23" t="s">
        <v>37</v>
      </c>
      <c r="C457" s="24" t="s">
        <v>46</v>
      </c>
    </row>
    <row r="458" spans="1:3" ht="13.5" thickBot="1" x14ac:dyDescent="0.25">
      <c r="A458" s="25">
        <v>50771</v>
      </c>
      <c r="B458" s="26" t="s">
        <v>37</v>
      </c>
      <c r="C458" s="27" t="s">
        <v>32</v>
      </c>
    </row>
    <row r="459" spans="1:3" ht="13.5" thickBot="1" x14ac:dyDescent="0.25">
      <c r="A459" s="16">
        <v>50822</v>
      </c>
      <c r="B459" s="17" t="s">
        <v>31</v>
      </c>
      <c r="C459" s="18" t="s">
        <v>33</v>
      </c>
    </row>
    <row r="460" spans="1:3" ht="13.5" thickBot="1" x14ac:dyDescent="0.25">
      <c r="A460" s="16">
        <v>50823</v>
      </c>
      <c r="B460" s="17" t="s">
        <v>34</v>
      </c>
      <c r="C460" s="18" t="s">
        <v>33</v>
      </c>
    </row>
    <row r="461" spans="1:3" ht="13.5" thickBot="1" x14ac:dyDescent="0.25">
      <c r="A461" s="16">
        <v>50868</v>
      </c>
      <c r="B461" s="17" t="s">
        <v>35</v>
      </c>
      <c r="C461" s="18" t="s">
        <v>36</v>
      </c>
    </row>
    <row r="462" spans="1:3" ht="13.5" thickBot="1" x14ac:dyDescent="0.25">
      <c r="A462" s="16">
        <v>50881</v>
      </c>
      <c r="B462" s="17" t="s">
        <v>40</v>
      </c>
      <c r="C462" s="18" t="s">
        <v>38</v>
      </c>
    </row>
    <row r="463" spans="1:3" ht="13.5" thickBot="1" x14ac:dyDescent="0.25">
      <c r="A463" s="16">
        <v>50891</v>
      </c>
      <c r="B463" s="17" t="s">
        <v>47</v>
      </c>
      <c r="C463" s="18" t="s">
        <v>39</v>
      </c>
    </row>
    <row r="464" spans="1:3" ht="13.5" thickBot="1" x14ac:dyDescent="0.25">
      <c r="A464" s="16">
        <v>50930</v>
      </c>
      <c r="B464" s="17" t="s">
        <v>40</v>
      </c>
      <c r="C464" s="18" t="s">
        <v>41</v>
      </c>
    </row>
    <row r="465" spans="1:3" ht="13.5" thickBot="1" x14ac:dyDescent="0.25">
      <c r="A465" s="16">
        <v>51020</v>
      </c>
      <c r="B465" s="17" t="s">
        <v>48</v>
      </c>
      <c r="C465" s="18" t="s">
        <v>42</v>
      </c>
    </row>
    <row r="466" spans="1:3" ht="14.25" thickBot="1" x14ac:dyDescent="0.25">
      <c r="A466" s="16">
        <v>51055</v>
      </c>
      <c r="B466" s="17" t="s">
        <v>48</v>
      </c>
      <c r="C466" s="18" t="s">
        <v>43</v>
      </c>
    </row>
    <row r="467" spans="1:3" ht="13.5" thickBot="1" x14ac:dyDescent="0.25">
      <c r="A467" s="16">
        <v>51076</v>
      </c>
      <c r="B467" s="17" t="s">
        <v>48</v>
      </c>
      <c r="C467" s="18" t="s">
        <v>44</v>
      </c>
    </row>
    <row r="468" spans="1:3" ht="13.5" thickBot="1" x14ac:dyDescent="0.25">
      <c r="A468" s="16">
        <v>51089</v>
      </c>
      <c r="B468" s="17" t="s">
        <v>34</v>
      </c>
      <c r="C468" s="18" t="s">
        <v>45</v>
      </c>
    </row>
    <row r="469" spans="1:3" ht="13.5" thickBot="1" x14ac:dyDescent="0.25">
      <c r="A469" s="16">
        <v>51129</v>
      </c>
      <c r="B469" s="17" t="s">
        <v>47</v>
      </c>
      <c r="C469" s="18" t="s">
        <v>46</v>
      </c>
    </row>
    <row r="470" spans="1:3" ht="13.5" thickBot="1" x14ac:dyDescent="0.25">
      <c r="A470" s="19">
        <v>51136</v>
      </c>
      <c r="B470" s="20" t="s">
        <v>47</v>
      </c>
      <c r="C470" s="21" t="s">
        <v>32</v>
      </c>
    </row>
    <row r="471" spans="1:3" ht="13.5" thickBot="1" x14ac:dyDescent="0.25">
      <c r="A471" s="22">
        <v>51179</v>
      </c>
      <c r="B471" s="23" t="s">
        <v>31</v>
      </c>
      <c r="C471" s="24" t="s">
        <v>33</v>
      </c>
    </row>
    <row r="472" spans="1:3" ht="13.5" thickBot="1" x14ac:dyDescent="0.25">
      <c r="A472" s="22">
        <v>51180</v>
      </c>
      <c r="B472" s="23" t="s">
        <v>34</v>
      </c>
      <c r="C472" s="24" t="s">
        <v>33</v>
      </c>
    </row>
    <row r="473" spans="1:3" ht="13.5" thickBot="1" x14ac:dyDescent="0.25">
      <c r="A473" s="22">
        <v>51225</v>
      </c>
      <c r="B473" s="23" t="s">
        <v>35</v>
      </c>
      <c r="C473" s="24" t="s">
        <v>36</v>
      </c>
    </row>
    <row r="474" spans="1:3" ht="13.5" thickBot="1" x14ac:dyDescent="0.25">
      <c r="A474" s="22">
        <v>51247</v>
      </c>
      <c r="B474" s="23" t="s">
        <v>37</v>
      </c>
      <c r="C474" s="24" t="s">
        <v>38</v>
      </c>
    </row>
    <row r="475" spans="1:3" ht="13.5" thickBot="1" x14ac:dyDescent="0.25">
      <c r="A475" s="22">
        <v>51257</v>
      </c>
      <c r="B475" s="23" t="s">
        <v>34</v>
      </c>
      <c r="C475" s="24" t="s">
        <v>39</v>
      </c>
    </row>
    <row r="476" spans="1:3" ht="13.5" thickBot="1" x14ac:dyDescent="0.25">
      <c r="A476" s="22">
        <v>51287</v>
      </c>
      <c r="B476" s="23" t="s">
        <v>40</v>
      </c>
      <c r="C476" s="24" t="s">
        <v>41</v>
      </c>
    </row>
    <row r="477" spans="1:3" ht="13.5" thickBot="1" x14ac:dyDescent="0.25">
      <c r="A477" s="22">
        <v>51386</v>
      </c>
      <c r="B477" s="23" t="s">
        <v>35</v>
      </c>
      <c r="C477" s="24" t="s">
        <v>42</v>
      </c>
    </row>
    <row r="478" spans="1:3" ht="14.25" thickBot="1" x14ac:dyDescent="0.25">
      <c r="A478" s="22">
        <v>51421</v>
      </c>
      <c r="B478" s="23" t="s">
        <v>35</v>
      </c>
      <c r="C478" s="24" t="s">
        <v>43</v>
      </c>
    </row>
    <row r="479" spans="1:3" ht="13.5" thickBot="1" x14ac:dyDescent="0.25">
      <c r="A479" s="22">
        <v>51442</v>
      </c>
      <c r="B479" s="23" t="s">
        <v>35</v>
      </c>
      <c r="C479" s="24" t="s">
        <v>44</v>
      </c>
    </row>
    <row r="480" spans="1:3" ht="13.5" thickBot="1" x14ac:dyDescent="0.25">
      <c r="A480" s="22">
        <v>51455</v>
      </c>
      <c r="B480" s="23" t="s">
        <v>40</v>
      </c>
      <c r="C480" s="24" t="s">
        <v>45</v>
      </c>
    </row>
    <row r="481" spans="1:3" ht="13.5" thickBot="1" x14ac:dyDescent="0.25">
      <c r="A481" s="22">
        <v>51495</v>
      </c>
      <c r="B481" s="23" t="s">
        <v>34</v>
      </c>
      <c r="C481" s="24" t="s">
        <v>46</v>
      </c>
    </row>
    <row r="482" spans="1:3" ht="13.5" thickBot="1" x14ac:dyDescent="0.25">
      <c r="A482" s="25">
        <v>51502</v>
      </c>
      <c r="B482" s="26" t="s">
        <v>34</v>
      </c>
      <c r="C482" s="27" t="s">
        <v>32</v>
      </c>
    </row>
    <row r="483" spans="1:3" ht="13.5" thickBot="1" x14ac:dyDescent="0.25">
      <c r="A483" s="16">
        <v>51564</v>
      </c>
      <c r="B483" s="17" t="s">
        <v>31</v>
      </c>
      <c r="C483" s="18" t="s">
        <v>33</v>
      </c>
    </row>
    <row r="484" spans="1:3" ht="13.5" thickBot="1" x14ac:dyDescent="0.25">
      <c r="A484" s="16">
        <v>51565</v>
      </c>
      <c r="B484" s="17" t="s">
        <v>34</v>
      </c>
      <c r="C484" s="18" t="s">
        <v>33</v>
      </c>
    </row>
    <row r="485" spans="1:3" ht="13.5" thickBot="1" x14ac:dyDescent="0.25">
      <c r="A485" s="16">
        <v>51610</v>
      </c>
      <c r="B485" s="17" t="s">
        <v>35</v>
      </c>
      <c r="C485" s="18" t="s">
        <v>36</v>
      </c>
    </row>
    <row r="486" spans="1:3" ht="13.5" thickBot="1" x14ac:dyDescent="0.25">
      <c r="A486" s="16">
        <v>51612</v>
      </c>
      <c r="B486" s="17" t="s">
        <v>47</v>
      </c>
      <c r="C486" s="18" t="s">
        <v>38</v>
      </c>
    </row>
    <row r="487" spans="1:3" ht="13.5" thickBot="1" x14ac:dyDescent="0.25">
      <c r="A487" s="16">
        <v>51622</v>
      </c>
      <c r="B487" s="17" t="s">
        <v>48</v>
      </c>
      <c r="C487" s="18" t="s">
        <v>39</v>
      </c>
    </row>
    <row r="488" spans="1:3" ht="13.5" thickBot="1" x14ac:dyDescent="0.25">
      <c r="A488" s="16">
        <v>51672</v>
      </c>
      <c r="B488" s="17" t="s">
        <v>40</v>
      </c>
      <c r="C488" s="18" t="s">
        <v>41</v>
      </c>
    </row>
    <row r="489" spans="1:3" ht="13.5" thickBot="1" x14ac:dyDescent="0.25">
      <c r="A489" s="16">
        <v>51751</v>
      </c>
      <c r="B489" s="17" t="s">
        <v>37</v>
      </c>
      <c r="C489" s="18" t="s">
        <v>42</v>
      </c>
    </row>
    <row r="490" spans="1:3" ht="14.25" thickBot="1" x14ac:dyDescent="0.25">
      <c r="A490" s="16">
        <v>51786</v>
      </c>
      <c r="B490" s="17" t="s">
        <v>37</v>
      </c>
      <c r="C490" s="18" t="s">
        <v>43</v>
      </c>
    </row>
    <row r="491" spans="1:3" ht="13.5" thickBot="1" x14ac:dyDescent="0.25">
      <c r="A491" s="16">
        <v>51807</v>
      </c>
      <c r="B491" s="17" t="s">
        <v>37</v>
      </c>
      <c r="C491" s="18" t="s">
        <v>44</v>
      </c>
    </row>
    <row r="492" spans="1:3" ht="13.5" thickBot="1" x14ac:dyDescent="0.25">
      <c r="A492" s="16">
        <v>51820</v>
      </c>
      <c r="B492" s="17" t="s">
        <v>35</v>
      </c>
      <c r="C492" s="18" t="s">
        <v>45</v>
      </c>
    </row>
    <row r="493" spans="1:3" ht="13.5" thickBot="1" x14ac:dyDescent="0.25">
      <c r="A493" s="16">
        <v>51860</v>
      </c>
      <c r="B493" s="17" t="s">
        <v>48</v>
      </c>
      <c r="C493" s="18" t="s">
        <v>46</v>
      </c>
    </row>
    <row r="494" spans="1:3" ht="13.5" thickBot="1" x14ac:dyDescent="0.25">
      <c r="A494" s="19">
        <v>51867</v>
      </c>
      <c r="B494" s="20" t="s">
        <v>48</v>
      </c>
      <c r="C494" s="21" t="s">
        <v>32</v>
      </c>
    </row>
    <row r="495" spans="1:3" ht="13.5" thickBot="1" x14ac:dyDescent="0.25">
      <c r="A495" s="22">
        <v>51914</v>
      </c>
      <c r="B495" s="23" t="s">
        <v>31</v>
      </c>
      <c r="C495" s="24" t="s">
        <v>33</v>
      </c>
    </row>
    <row r="496" spans="1:3" ht="13.5" thickBot="1" x14ac:dyDescent="0.25">
      <c r="A496" s="22">
        <v>51915</v>
      </c>
      <c r="B496" s="23" t="s">
        <v>34</v>
      </c>
      <c r="C496" s="24" t="s">
        <v>33</v>
      </c>
    </row>
    <row r="497" spans="1:3" ht="13.5" thickBot="1" x14ac:dyDescent="0.25">
      <c r="A497" s="22">
        <v>51960</v>
      </c>
      <c r="B497" s="23" t="s">
        <v>35</v>
      </c>
      <c r="C497" s="24" t="s">
        <v>36</v>
      </c>
    </row>
    <row r="498" spans="1:3" ht="13.5" thickBot="1" x14ac:dyDescent="0.25">
      <c r="A498" s="22">
        <v>51977</v>
      </c>
      <c r="B498" s="23" t="s">
        <v>31</v>
      </c>
      <c r="C498" s="24" t="s">
        <v>38</v>
      </c>
    </row>
    <row r="499" spans="1:3" ht="13.5" thickBot="1" x14ac:dyDescent="0.25">
      <c r="A499" s="22">
        <v>51987</v>
      </c>
      <c r="B499" s="23" t="s">
        <v>40</v>
      </c>
      <c r="C499" s="24" t="s">
        <v>39</v>
      </c>
    </row>
    <row r="500" spans="1:3" ht="13.5" thickBot="1" x14ac:dyDescent="0.25">
      <c r="A500" s="22">
        <v>52022</v>
      </c>
      <c r="B500" s="23" t="s">
        <v>40</v>
      </c>
      <c r="C500" s="24" t="s">
        <v>41</v>
      </c>
    </row>
    <row r="501" spans="1:3" ht="13.5" thickBot="1" x14ac:dyDescent="0.25">
      <c r="A501" s="22">
        <v>52116</v>
      </c>
      <c r="B501" s="23" t="s">
        <v>47</v>
      </c>
      <c r="C501" s="24" t="s">
        <v>42</v>
      </c>
    </row>
    <row r="502" spans="1:3" ht="14.25" thickBot="1" x14ac:dyDescent="0.25">
      <c r="A502" s="22">
        <v>52151</v>
      </c>
      <c r="B502" s="23" t="s">
        <v>47</v>
      </c>
      <c r="C502" s="24" t="s">
        <v>43</v>
      </c>
    </row>
    <row r="503" spans="1:3" ht="13.5" thickBot="1" x14ac:dyDescent="0.25">
      <c r="A503" s="22">
        <v>52172</v>
      </c>
      <c r="B503" s="23" t="s">
        <v>47</v>
      </c>
      <c r="C503" s="24" t="s">
        <v>44</v>
      </c>
    </row>
    <row r="504" spans="1:3" ht="13.5" thickBot="1" x14ac:dyDescent="0.25">
      <c r="A504" s="22">
        <v>52185</v>
      </c>
      <c r="B504" s="23" t="s">
        <v>37</v>
      </c>
      <c r="C504" s="24" t="s">
        <v>45</v>
      </c>
    </row>
    <row r="505" spans="1:3" ht="13.5" thickBot="1" x14ac:dyDescent="0.25">
      <c r="A505" s="22">
        <v>52225</v>
      </c>
      <c r="B505" s="23" t="s">
        <v>40</v>
      </c>
      <c r="C505" s="24" t="s">
        <v>46</v>
      </c>
    </row>
    <row r="506" spans="1:3" ht="13.5" thickBot="1" x14ac:dyDescent="0.25">
      <c r="A506" s="25">
        <v>52232</v>
      </c>
      <c r="B506" s="26" t="s">
        <v>40</v>
      </c>
      <c r="C506" s="27" t="s">
        <v>32</v>
      </c>
    </row>
    <row r="507" spans="1:3" ht="13.5" thickBot="1" x14ac:dyDescent="0.25">
      <c r="A507" s="16">
        <v>52271</v>
      </c>
      <c r="B507" s="17" t="s">
        <v>31</v>
      </c>
      <c r="C507" s="18" t="s">
        <v>33</v>
      </c>
    </row>
    <row r="508" spans="1:3" ht="13.5" thickBot="1" x14ac:dyDescent="0.25">
      <c r="A508" s="16">
        <v>52272</v>
      </c>
      <c r="B508" s="17" t="s">
        <v>34</v>
      </c>
      <c r="C508" s="18" t="s">
        <v>33</v>
      </c>
    </row>
    <row r="509" spans="1:3" ht="13.5" thickBot="1" x14ac:dyDescent="0.25">
      <c r="A509" s="16">
        <v>52317</v>
      </c>
      <c r="B509" s="17" t="s">
        <v>35</v>
      </c>
      <c r="C509" s="18" t="s">
        <v>36</v>
      </c>
    </row>
    <row r="510" spans="1:3" ht="13.5" thickBot="1" x14ac:dyDescent="0.25">
      <c r="A510" s="16">
        <v>52342</v>
      </c>
      <c r="B510" s="17" t="s">
        <v>34</v>
      </c>
      <c r="C510" s="18" t="s">
        <v>38</v>
      </c>
    </row>
    <row r="511" spans="1:3" ht="13.5" thickBot="1" x14ac:dyDescent="0.25">
      <c r="A511" s="16">
        <v>52352</v>
      </c>
      <c r="B511" s="17" t="s">
        <v>35</v>
      </c>
      <c r="C511" s="18" t="s">
        <v>39</v>
      </c>
    </row>
    <row r="512" spans="1:3" ht="13.5" thickBot="1" x14ac:dyDescent="0.25">
      <c r="A512" s="16">
        <v>52379</v>
      </c>
      <c r="B512" s="17" t="s">
        <v>40</v>
      </c>
      <c r="C512" s="18" t="s">
        <v>41</v>
      </c>
    </row>
    <row r="513" spans="1:3" ht="13.5" thickBot="1" x14ac:dyDescent="0.25">
      <c r="A513" s="16">
        <v>52481</v>
      </c>
      <c r="B513" s="17" t="s">
        <v>31</v>
      </c>
      <c r="C513" s="18" t="s">
        <v>42</v>
      </c>
    </row>
    <row r="514" spans="1:3" ht="14.25" thickBot="1" x14ac:dyDescent="0.25">
      <c r="A514" s="16">
        <v>52516</v>
      </c>
      <c r="B514" s="17" t="s">
        <v>31</v>
      </c>
      <c r="C514" s="18" t="s">
        <v>43</v>
      </c>
    </row>
    <row r="515" spans="1:3" ht="13.5" thickBot="1" x14ac:dyDescent="0.25">
      <c r="A515" s="16">
        <v>52537</v>
      </c>
      <c r="B515" s="17" t="s">
        <v>31</v>
      </c>
      <c r="C515" s="18" t="s">
        <v>44</v>
      </c>
    </row>
    <row r="516" spans="1:3" ht="13.5" thickBot="1" x14ac:dyDescent="0.25">
      <c r="A516" s="16">
        <v>52550</v>
      </c>
      <c r="B516" s="17" t="s">
        <v>47</v>
      </c>
      <c r="C516" s="18" t="s">
        <v>45</v>
      </c>
    </row>
    <row r="517" spans="1:3" ht="13.5" thickBot="1" x14ac:dyDescent="0.25">
      <c r="A517" s="16">
        <v>52590</v>
      </c>
      <c r="B517" s="17" t="s">
        <v>35</v>
      </c>
      <c r="C517" s="18" t="s">
        <v>46</v>
      </c>
    </row>
    <row r="518" spans="1:3" ht="13.5" thickBot="1" x14ac:dyDescent="0.25">
      <c r="A518" s="19">
        <v>52597</v>
      </c>
      <c r="B518" s="20" t="s">
        <v>35</v>
      </c>
      <c r="C518" s="21" t="s">
        <v>32</v>
      </c>
    </row>
    <row r="519" spans="1:3" ht="13.5" thickBot="1" x14ac:dyDescent="0.25">
      <c r="A519" s="22">
        <v>52656</v>
      </c>
      <c r="B519" s="23" t="s">
        <v>31</v>
      </c>
      <c r="C519" s="24" t="s">
        <v>33</v>
      </c>
    </row>
    <row r="520" spans="1:3" ht="13.5" thickBot="1" x14ac:dyDescent="0.25">
      <c r="A520" s="22">
        <v>52657</v>
      </c>
      <c r="B520" s="23" t="s">
        <v>34</v>
      </c>
      <c r="C520" s="24" t="s">
        <v>33</v>
      </c>
    </row>
    <row r="521" spans="1:3" ht="13.5" thickBot="1" x14ac:dyDescent="0.25">
      <c r="A521" s="22">
        <v>52702</v>
      </c>
      <c r="B521" s="23" t="s">
        <v>35</v>
      </c>
      <c r="C521" s="24" t="s">
        <v>36</v>
      </c>
    </row>
    <row r="522" spans="1:3" ht="13.5" thickBot="1" x14ac:dyDescent="0.25">
      <c r="A522" s="22">
        <v>52708</v>
      </c>
      <c r="B522" s="23" t="s">
        <v>40</v>
      </c>
      <c r="C522" s="24" t="s">
        <v>38</v>
      </c>
    </row>
    <row r="523" spans="1:3" ht="13.5" thickBot="1" x14ac:dyDescent="0.25">
      <c r="A523" s="22">
        <v>52718</v>
      </c>
      <c r="B523" s="23" t="s">
        <v>47</v>
      </c>
      <c r="C523" s="24" t="s">
        <v>39</v>
      </c>
    </row>
    <row r="524" spans="1:3" ht="13.5" thickBot="1" x14ac:dyDescent="0.25">
      <c r="A524" s="22">
        <v>52764</v>
      </c>
      <c r="B524" s="23" t="s">
        <v>40</v>
      </c>
      <c r="C524" s="24" t="s">
        <v>41</v>
      </c>
    </row>
    <row r="525" spans="1:3" ht="13.5" thickBot="1" x14ac:dyDescent="0.25">
      <c r="A525" s="22">
        <v>52847</v>
      </c>
      <c r="B525" s="23" t="s">
        <v>48</v>
      </c>
      <c r="C525" s="24" t="s">
        <v>42</v>
      </c>
    </row>
    <row r="526" spans="1:3" ht="14.25" thickBot="1" x14ac:dyDescent="0.25">
      <c r="A526" s="22">
        <v>52882</v>
      </c>
      <c r="B526" s="23" t="s">
        <v>48</v>
      </c>
      <c r="C526" s="24" t="s">
        <v>43</v>
      </c>
    </row>
    <row r="527" spans="1:3" ht="13.5" thickBot="1" x14ac:dyDescent="0.25">
      <c r="A527" s="22">
        <v>52903</v>
      </c>
      <c r="B527" s="23" t="s">
        <v>48</v>
      </c>
      <c r="C527" s="24" t="s">
        <v>44</v>
      </c>
    </row>
    <row r="528" spans="1:3" ht="13.5" thickBot="1" x14ac:dyDescent="0.25">
      <c r="A528" s="22">
        <v>52916</v>
      </c>
      <c r="B528" s="23" t="s">
        <v>34</v>
      </c>
      <c r="C528" s="24" t="s">
        <v>45</v>
      </c>
    </row>
    <row r="529" spans="1:3" ht="13.5" thickBot="1" x14ac:dyDescent="0.25">
      <c r="A529" s="19">
        <v>52956</v>
      </c>
      <c r="B529" s="20" t="s">
        <v>47</v>
      </c>
      <c r="C529" s="21" t="s">
        <v>46</v>
      </c>
    </row>
    <row r="530" spans="1:3" ht="13.5" thickBot="1" x14ac:dyDescent="0.25">
      <c r="A530" s="25">
        <v>52963</v>
      </c>
      <c r="B530" s="26" t="s">
        <v>47</v>
      </c>
      <c r="C530" s="27" t="s">
        <v>32</v>
      </c>
    </row>
    <row r="531" spans="1:3" ht="13.5" thickBot="1" x14ac:dyDescent="0.25">
      <c r="A531" s="16">
        <v>53013</v>
      </c>
      <c r="B531" s="17" t="s">
        <v>31</v>
      </c>
      <c r="C531" s="18" t="s">
        <v>33</v>
      </c>
    </row>
    <row r="532" spans="1:3" ht="13.5" thickBot="1" x14ac:dyDescent="0.25">
      <c r="A532" s="16">
        <v>53014</v>
      </c>
      <c r="B532" s="17" t="s">
        <v>34</v>
      </c>
      <c r="C532" s="18" t="s">
        <v>33</v>
      </c>
    </row>
    <row r="533" spans="1:3" ht="13.5" thickBot="1" x14ac:dyDescent="0.25">
      <c r="A533" s="16">
        <v>53059</v>
      </c>
      <c r="B533" s="17" t="s">
        <v>35</v>
      </c>
      <c r="C533" s="18" t="s">
        <v>36</v>
      </c>
    </row>
    <row r="534" spans="1:3" ht="13.5" thickBot="1" x14ac:dyDescent="0.25">
      <c r="A534" s="16">
        <v>53073</v>
      </c>
      <c r="B534" s="17" t="s">
        <v>35</v>
      </c>
      <c r="C534" s="18" t="s">
        <v>38</v>
      </c>
    </row>
    <row r="535" spans="1:3" ht="13.5" thickBot="1" x14ac:dyDescent="0.25">
      <c r="A535" s="16">
        <v>53083</v>
      </c>
      <c r="B535" s="17" t="s">
        <v>31</v>
      </c>
      <c r="C535" s="18" t="s">
        <v>39</v>
      </c>
    </row>
    <row r="536" spans="1:3" ht="13.5" thickBot="1" x14ac:dyDescent="0.25">
      <c r="A536" s="16">
        <v>53121</v>
      </c>
      <c r="B536" s="17" t="s">
        <v>40</v>
      </c>
      <c r="C536" s="18" t="s">
        <v>41</v>
      </c>
    </row>
    <row r="537" spans="1:3" ht="13.5" thickBot="1" x14ac:dyDescent="0.25">
      <c r="A537" s="16">
        <v>53212</v>
      </c>
      <c r="B537" s="17" t="s">
        <v>40</v>
      </c>
      <c r="C537" s="18" t="s">
        <v>42</v>
      </c>
    </row>
    <row r="538" spans="1:3" ht="14.25" thickBot="1" x14ac:dyDescent="0.25">
      <c r="A538" s="16">
        <v>53247</v>
      </c>
      <c r="B538" s="17" t="s">
        <v>40</v>
      </c>
      <c r="C538" s="18" t="s">
        <v>43</v>
      </c>
    </row>
    <row r="539" spans="1:3" ht="13.5" thickBot="1" x14ac:dyDescent="0.25">
      <c r="A539" s="16">
        <v>53268</v>
      </c>
      <c r="B539" s="17" t="s">
        <v>40</v>
      </c>
      <c r="C539" s="18" t="s">
        <v>44</v>
      </c>
    </row>
    <row r="540" spans="1:3" ht="13.5" thickBot="1" x14ac:dyDescent="0.25">
      <c r="A540" s="16">
        <v>53281</v>
      </c>
      <c r="B540" s="17" t="s">
        <v>48</v>
      </c>
      <c r="C540" s="18" t="s">
        <v>45</v>
      </c>
    </row>
    <row r="541" spans="1:3" ht="13.5" thickBot="1" x14ac:dyDescent="0.25">
      <c r="A541" s="16">
        <v>53321</v>
      </c>
      <c r="B541" s="17" t="s">
        <v>31</v>
      </c>
      <c r="C541" s="18" t="s">
        <v>46</v>
      </c>
    </row>
    <row r="542" spans="1:3" ht="13.5" thickBot="1" x14ac:dyDescent="0.25">
      <c r="A542" s="19">
        <v>53328</v>
      </c>
      <c r="B542" s="20" t="s">
        <v>31</v>
      </c>
      <c r="C542" s="21" t="s">
        <v>32</v>
      </c>
    </row>
    <row r="543" spans="1:3" ht="13.5" thickBot="1" x14ac:dyDescent="0.25">
      <c r="A543" s="22">
        <v>53363</v>
      </c>
      <c r="B543" s="23" t="s">
        <v>31</v>
      </c>
      <c r="C543" s="24" t="s">
        <v>33</v>
      </c>
    </row>
    <row r="544" spans="1:3" ht="13.5" thickBot="1" x14ac:dyDescent="0.25">
      <c r="A544" s="22">
        <v>53364</v>
      </c>
      <c r="B544" s="23" t="s">
        <v>34</v>
      </c>
      <c r="C544" s="24" t="s">
        <v>33</v>
      </c>
    </row>
    <row r="545" spans="1:3" ht="13.5" thickBot="1" x14ac:dyDescent="0.25">
      <c r="A545" s="22">
        <v>53409</v>
      </c>
      <c r="B545" s="23" t="s">
        <v>35</v>
      </c>
      <c r="C545" s="24" t="s">
        <v>36</v>
      </c>
    </row>
    <row r="546" spans="1:3" ht="13.5" thickBot="1" x14ac:dyDescent="0.25">
      <c r="A546" s="22">
        <v>53438</v>
      </c>
      <c r="B546" s="23" t="s">
        <v>37</v>
      </c>
      <c r="C546" s="24" t="s">
        <v>38</v>
      </c>
    </row>
    <row r="547" spans="1:3" ht="13.5" thickBot="1" x14ac:dyDescent="0.25">
      <c r="A547" s="22">
        <v>53448</v>
      </c>
      <c r="B547" s="23" t="s">
        <v>34</v>
      </c>
      <c r="C547" s="24" t="s">
        <v>39</v>
      </c>
    </row>
    <row r="548" spans="1:3" ht="13.5" thickBot="1" x14ac:dyDescent="0.25">
      <c r="A548" s="22">
        <v>53471</v>
      </c>
      <c r="B548" s="23" t="s">
        <v>40</v>
      </c>
      <c r="C548" s="24" t="s">
        <v>41</v>
      </c>
    </row>
    <row r="549" spans="1:3" ht="13.5" thickBot="1" x14ac:dyDescent="0.25">
      <c r="A549" s="22">
        <v>53577</v>
      </c>
      <c r="B549" s="23" t="s">
        <v>35</v>
      </c>
      <c r="C549" s="24" t="s">
        <v>42</v>
      </c>
    </row>
    <row r="550" spans="1:3" ht="14.25" thickBot="1" x14ac:dyDescent="0.25">
      <c r="A550" s="22">
        <v>53612</v>
      </c>
      <c r="B550" s="23" t="s">
        <v>35</v>
      </c>
      <c r="C550" s="24" t="s">
        <v>43</v>
      </c>
    </row>
    <row r="551" spans="1:3" ht="13.5" thickBot="1" x14ac:dyDescent="0.25">
      <c r="A551" s="22">
        <v>53633</v>
      </c>
      <c r="B551" s="23" t="s">
        <v>35</v>
      </c>
      <c r="C551" s="24" t="s">
        <v>44</v>
      </c>
    </row>
    <row r="552" spans="1:3" ht="13.5" thickBot="1" x14ac:dyDescent="0.25">
      <c r="A552" s="22">
        <v>53646</v>
      </c>
      <c r="B552" s="23" t="s">
        <v>40</v>
      </c>
      <c r="C552" s="24" t="s">
        <v>45</v>
      </c>
    </row>
    <row r="553" spans="1:3" ht="13.5" thickBot="1" x14ac:dyDescent="0.25">
      <c r="A553" s="22">
        <v>53686</v>
      </c>
      <c r="B553" s="23" t="s">
        <v>34</v>
      </c>
      <c r="C553" s="24" t="s">
        <v>46</v>
      </c>
    </row>
    <row r="554" spans="1:3" ht="13.5" thickBot="1" x14ac:dyDescent="0.25">
      <c r="A554" s="25">
        <v>53693</v>
      </c>
      <c r="B554" s="26" t="s">
        <v>34</v>
      </c>
      <c r="C554" s="27" t="s">
        <v>32</v>
      </c>
    </row>
    <row r="555" spans="1:3" ht="13.5" thickBot="1" x14ac:dyDescent="0.25">
      <c r="A555" s="16">
        <v>53748</v>
      </c>
      <c r="B555" s="17" t="s">
        <v>31</v>
      </c>
      <c r="C555" s="18" t="s">
        <v>33</v>
      </c>
    </row>
    <row r="556" spans="1:3" ht="13.5" thickBot="1" x14ac:dyDescent="0.25">
      <c r="A556" s="16">
        <v>53749</v>
      </c>
      <c r="B556" s="17" t="s">
        <v>34</v>
      </c>
      <c r="C556" s="18" t="s">
        <v>33</v>
      </c>
    </row>
    <row r="557" spans="1:3" ht="13.5" thickBot="1" x14ac:dyDescent="0.25">
      <c r="A557" s="16">
        <v>53794</v>
      </c>
      <c r="B557" s="17" t="s">
        <v>35</v>
      </c>
      <c r="C557" s="18" t="s">
        <v>36</v>
      </c>
    </row>
    <row r="558" spans="1:3" ht="13.5" thickBot="1" x14ac:dyDescent="0.25">
      <c r="A558" s="16">
        <v>53803</v>
      </c>
      <c r="B558" s="17" t="s">
        <v>34</v>
      </c>
      <c r="C558" s="18" t="s">
        <v>38</v>
      </c>
    </row>
    <row r="559" spans="1:3" ht="13.5" thickBot="1" x14ac:dyDescent="0.25">
      <c r="A559" s="16">
        <v>53813</v>
      </c>
      <c r="B559" s="17" t="s">
        <v>48</v>
      </c>
      <c r="C559" s="18" t="s">
        <v>39</v>
      </c>
    </row>
    <row r="560" spans="1:3" ht="13.5" thickBot="1" x14ac:dyDescent="0.25">
      <c r="A560" s="16">
        <v>53856</v>
      </c>
      <c r="B560" s="17" t="s">
        <v>40</v>
      </c>
      <c r="C560" s="18" t="s">
        <v>41</v>
      </c>
    </row>
    <row r="561" spans="1:3" ht="13.5" thickBot="1" x14ac:dyDescent="0.25">
      <c r="A561" s="16">
        <v>53942</v>
      </c>
      <c r="B561" s="17" t="s">
        <v>37</v>
      </c>
      <c r="C561" s="18" t="s">
        <v>42</v>
      </c>
    </row>
    <row r="562" spans="1:3" ht="14.25" thickBot="1" x14ac:dyDescent="0.25">
      <c r="A562" s="16">
        <v>53977</v>
      </c>
      <c r="B562" s="17" t="s">
        <v>37</v>
      </c>
      <c r="C562" s="18" t="s">
        <v>43</v>
      </c>
    </row>
    <row r="563" spans="1:3" ht="13.5" thickBot="1" x14ac:dyDescent="0.25">
      <c r="A563" s="16">
        <v>53998</v>
      </c>
      <c r="B563" s="17" t="s">
        <v>37</v>
      </c>
      <c r="C563" s="18" t="s">
        <v>44</v>
      </c>
    </row>
    <row r="564" spans="1:3" ht="13.5" thickBot="1" x14ac:dyDescent="0.25">
      <c r="A564" s="16">
        <v>54011</v>
      </c>
      <c r="B564" s="17" t="s">
        <v>35</v>
      </c>
      <c r="C564" s="18" t="s">
        <v>45</v>
      </c>
    </row>
    <row r="565" spans="1:3" ht="13.5" thickBot="1" x14ac:dyDescent="0.25">
      <c r="A565" s="16">
        <v>54051</v>
      </c>
      <c r="B565" s="17" t="s">
        <v>48</v>
      </c>
      <c r="C565" s="18" t="s">
        <v>46</v>
      </c>
    </row>
    <row r="566" spans="1:3" ht="13.5" thickBot="1" x14ac:dyDescent="0.25">
      <c r="A566" s="19">
        <v>54058</v>
      </c>
      <c r="B566" s="20" t="s">
        <v>48</v>
      </c>
      <c r="C566" s="21" t="s">
        <v>32</v>
      </c>
    </row>
    <row r="567" spans="1:3" ht="13.5" thickBot="1" x14ac:dyDescent="0.25">
      <c r="A567" s="22">
        <v>54105</v>
      </c>
      <c r="B567" s="23" t="s">
        <v>31</v>
      </c>
      <c r="C567" s="24" t="s">
        <v>33</v>
      </c>
    </row>
    <row r="568" spans="1:3" ht="13.5" thickBot="1" x14ac:dyDescent="0.25">
      <c r="A568" s="22">
        <v>54106</v>
      </c>
      <c r="B568" s="23" t="s">
        <v>34</v>
      </c>
      <c r="C568" s="24" t="s">
        <v>33</v>
      </c>
    </row>
    <row r="569" spans="1:3" ht="13.5" thickBot="1" x14ac:dyDescent="0.25">
      <c r="A569" s="22">
        <v>54151</v>
      </c>
      <c r="B569" s="23" t="s">
        <v>35</v>
      </c>
      <c r="C569" s="24" t="s">
        <v>36</v>
      </c>
    </row>
    <row r="570" spans="1:3" ht="13.5" thickBot="1" x14ac:dyDescent="0.25">
      <c r="A570" s="22">
        <v>54169</v>
      </c>
      <c r="B570" s="23" t="s">
        <v>34</v>
      </c>
      <c r="C570" s="24" t="s">
        <v>38</v>
      </c>
    </row>
    <row r="571" spans="1:3" ht="13.5" thickBot="1" x14ac:dyDescent="0.25">
      <c r="A571" s="22">
        <v>54179</v>
      </c>
      <c r="B571" s="23" t="s">
        <v>35</v>
      </c>
      <c r="C571" s="24" t="s">
        <v>39</v>
      </c>
    </row>
    <row r="572" spans="1:3" ht="13.5" thickBot="1" x14ac:dyDescent="0.25">
      <c r="A572" s="22">
        <v>54213</v>
      </c>
      <c r="B572" s="23" t="s">
        <v>40</v>
      </c>
      <c r="C572" s="24" t="s">
        <v>41</v>
      </c>
    </row>
    <row r="573" spans="1:3" ht="13.5" thickBot="1" x14ac:dyDescent="0.25">
      <c r="A573" s="22">
        <v>54308</v>
      </c>
      <c r="B573" s="23" t="s">
        <v>31</v>
      </c>
      <c r="C573" s="24" t="s">
        <v>42</v>
      </c>
    </row>
    <row r="574" spans="1:3" ht="14.25" thickBot="1" x14ac:dyDescent="0.25">
      <c r="A574" s="22">
        <v>54343</v>
      </c>
      <c r="B574" s="23" t="s">
        <v>31</v>
      </c>
      <c r="C574" s="24" t="s">
        <v>43</v>
      </c>
    </row>
    <row r="575" spans="1:3" ht="13.5" thickBot="1" x14ac:dyDescent="0.25">
      <c r="A575" s="22">
        <v>54364</v>
      </c>
      <c r="B575" s="23" t="s">
        <v>31</v>
      </c>
      <c r="C575" s="24" t="s">
        <v>44</v>
      </c>
    </row>
    <row r="576" spans="1:3" ht="13.5" thickBot="1" x14ac:dyDescent="0.25">
      <c r="A576" s="22">
        <v>54377</v>
      </c>
      <c r="B576" s="23" t="s">
        <v>47</v>
      </c>
      <c r="C576" s="24" t="s">
        <v>45</v>
      </c>
    </row>
    <row r="577" spans="1:3" ht="13.5" thickBot="1" x14ac:dyDescent="0.25">
      <c r="A577" s="22">
        <v>54417</v>
      </c>
      <c r="B577" s="23" t="s">
        <v>35</v>
      </c>
      <c r="C577" s="24" t="s">
        <v>46</v>
      </c>
    </row>
    <row r="578" spans="1:3" ht="13.5" thickBot="1" x14ac:dyDescent="0.25">
      <c r="A578" s="25">
        <v>54424</v>
      </c>
      <c r="B578" s="26" t="s">
        <v>35</v>
      </c>
      <c r="C578" s="27" t="s">
        <v>32</v>
      </c>
    </row>
    <row r="579" spans="1:3" ht="13.5" thickBot="1" x14ac:dyDescent="0.25">
      <c r="A579" s="16">
        <v>54483</v>
      </c>
      <c r="B579" s="17" t="s">
        <v>31</v>
      </c>
      <c r="C579" s="18" t="s">
        <v>33</v>
      </c>
    </row>
    <row r="580" spans="1:3" ht="13.5" thickBot="1" x14ac:dyDescent="0.25">
      <c r="A580" s="16">
        <v>54484</v>
      </c>
      <c r="B580" s="17" t="s">
        <v>34</v>
      </c>
      <c r="C580" s="18" t="s">
        <v>33</v>
      </c>
    </row>
    <row r="581" spans="1:3" ht="13.5" thickBot="1" x14ac:dyDescent="0.25">
      <c r="A581" s="16">
        <v>54529</v>
      </c>
      <c r="B581" s="17" t="s">
        <v>35</v>
      </c>
      <c r="C581" s="18" t="s">
        <v>36</v>
      </c>
    </row>
    <row r="582" spans="1:3" ht="13.5" thickBot="1" x14ac:dyDescent="0.25">
      <c r="A582" s="16">
        <v>54534</v>
      </c>
      <c r="B582" s="17" t="s">
        <v>48</v>
      </c>
      <c r="C582" s="18" t="s">
        <v>38</v>
      </c>
    </row>
    <row r="583" spans="1:3" ht="13.5" thickBot="1" x14ac:dyDescent="0.25">
      <c r="A583" s="16">
        <v>54544</v>
      </c>
      <c r="B583" s="17" t="s">
        <v>37</v>
      </c>
      <c r="C583" s="18" t="s">
        <v>39</v>
      </c>
    </row>
    <row r="584" spans="1:3" ht="13.5" thickBot="1" x14ac:dyDescent="0.25">
      <c r="A584" s="16">
        <v>54591</v>
      </c>
      <c r="B584" s="17" t="s">
        <v>40</v>
      </c>
      <c r="C584" s="18" t="s">
        <v>41</v>
      </c>
    </row>
    <row r="585" spans="1:3" ht="13.5" thickBot="1" x14ac:dyDescent="0.25">
      <c r="A585" s="16">
        <v>54673</v>
      </c>
      <c r="B585" s="17" t="s">
        <v>34</v>
      </c>
      <c r="C585" s="18" t="s">
        <v>42</v>
      </c>
    </row>
    <row r="586" spans="1:3" ht="14.25" thickBot="1" x14ac:dyDescent="0.25">
      <c r="A586" s="16">
        <v>54708</v>
      </c>
      <c r="B586" s="17" t="s">
        <v>34</v>
      </c>
      <c r="C586" s="18" t="s">
        <v>43</v>
      </c>
    </row>
    <row r="587" spans="1:3" ht="13.5" thickBot="1" x14ac:dyDescent="0.25">
      <c r="A587" s="16">
        <v>54729</v>
      </c>
      <c r="B587" s="17" t="s">
        <v>34</v>
      </c>
      <c r="C587" s="18" t="s">
        <v>44</v>
      </c>
    </row>
    <row r="588" spans="1:3" ht="13.5" thickBot="1" x14ac:dyDescent="0.25">
      <c r="A588" s="16">
        <v>54742</v>
      </c>
      <c r="B588" s="17" t="s">
        <v>31</v>
      </c>
      <c r="C588" s="18" t="s">
        <v>45</v>
      </c>
    </row>
    <row r="589" spans="1:3" ht="13.5" thickBot="1" x14ac:dyDescent="0.25">
      <c r="A589" s="16">
        <v>54782</v>
      </c>
      <c r="B589" s="17" t="s">
        <v>37</v>
      </c>
      <c r="C589" s="18" t="s">
        <v>46</v>
      </c>
    </row>
    <row r="590" spans="1:3" ht="13.5" thickBot="1" x14ac:dyDescent="0.25">
      <c r="A590" s="19">
        <v>54789</v>
      </c>
      <c r="B590" s="20" t="s">
        <v>37</v>
      </c>
      <c r="C590" s="21" t="s">
        <v>32</v>
      </c>
    </row>
    <row r="591" spans="1:3" ht="13.5" thickBot="1" x14ac:dyDescent="0.25">
      <c r="A591" s="22">
        <v>54840</v>
      </c>
      <c r="B591" s="23" t="s">
        <v>31</v>
      </c>
      <c r="C591" s="24" t="s">
        <v>33</v>
      </c>
    </row>
    <row r="592" spans="1:3" ht="13.5" thickBot="1" x14ac:dyDescent="0.25">
      <c r="A592" s="22">
        <v>54841</v>
      </c>
      <c r="B592" s="23" t="s">
        <v>34</v>
      </c>
      <c r="C592" s="24" t="s">
        <v>33</v>
      </c>
    </row>
    <row r="593" spans="1:3" ht="13.5" thickBot="1" x14ac:dyDescent="0.25">
      <c r="A593" s="22">
        <v>54886</v>
      </c>
      <c r="B593" s="23" t="s">
        <v>35</v>
      </c>
      <c r="C593" s="24" t="s">
        <v>36</v>
      </c>
    </row>
    <row r="594" spans="1:3" ht="13.5" thickBot="1" x14ac:dyDescent="0.25">
      <c r="A594" s="22">
        <v>54899</v>
      </c>
      <c r="B594" s="23" t="s">
        <v>40</v>
      </c>
      <c r="C594" s="24" t="s">
        <v>38</v>
      </c>
    </row>
    <row r="595" spans="1:3" ht="13.5" thickBot="1" x14ac:dyDescent="0.25">
      <c r="A595" s="22">
        <v>54909</v>
      </c>
      <c r="B595" s="23" t="s">
        <v>47</v>
      </c>
      <c r="C595" s="24" t="s">
        <v>39</v>
      </c>
    </row>
    <row r="596" spans="1:3" ht="13.5" thickBot="1" x14ac:dyDescent="0.25">
      <c r="A596" s="22">
        <v>54948</v>
      </c>
      <c r="B596" s="23" t="s">
        <v>40</v>
      </c>
      <c r="C596" s="24" t="s">
        <v>41</v>
      </c>
    </row>
    <row r="597" spans="1:3" ht="13.5" thickBot="1" x14ac:dyDescent="0.25">
      <c r="A597" s="22">
        <v>55038</v>
      </c>
      <c r="B597" s="23" t="s">
        <v>48</v>
      </c>
      <c r="C597" s="24" t="s">
        <v>42</v>
      </c>
    </row>
    <row r="598" spans="1:3" ht="14.25" thickBot="1" x14ac:dyDescent="0.25">
      <c r="A598" s="22">
        <v>55073</v>
      </c>
      <c r="B598" s="23" t="s">
        <v>48</v>
      </c>
      <c r="C598" s="24" t="s">
        <v>43</v>
      </c>
    </row>
    <row r="599" spans="1:3" ht="13.5" thickBot="1" x14ac:dyDescent="0.25">
      <c r="A599" s="22">
        <v>55094</v>
      </c>
      <c r="B599" s="23" t="s">
        <v>48</v>
      </c>
      <c r="C599" s="24" t="s">
        <v>44</v>
      </c>
    </row>
    <row r="600" spans="1:3" ht="13.5" thickBot="1" x14ac:dyDescent="0.25">
      <c r="A600" s="22">
        <v>55107</v>
      </c>
      <c r="B600" s="23" t="s">
        <v>34</v>
      </c>
      <c r="C600" s="24" t="s">
        <v>45</v>
      </c>
    </row>
    <row r="601" spans="1:3" ht="13.5" thickBot="1" x14ac:dyDescent="0.25">
      <c r="A601" s="22">
        <v>55147</v>
      </c>
      <c r="B601" s="23" t="s">
        <v>47</v>
      </c>
      <c r="C601" s="24" t="s">
        <v>46</v>
      </c>
    </row>
    <row r="602" spans="1:3" ht="13.5" thickBot="1" x14ac:dyDescent="0.25">
      <c r="A602" s="25">
        <v>55154</v>
      </c>
      <c r="B602" s="26" t="s">
        <v>47</v>
      </c>
      <c r="C602" s="27" t="s">
        <v>32</v>
      </c>
    </row>
    <row r="603" spans="1:3" ht="13.5" thickBot="1" x14ac:dyDescent="0.25">
      <c r="A603" s="16">
        <v>55197</v>
      </c>
      <c r="B603" s="17" t="s">
        <v>31</v>
      </c>
      <c r="C603" s="18" t="s">
        <v>33</v>
      </c>
    </row>
    <row r="604" spans="1:3" ht="13.5" thickBot="1" x14ac:dyDescent="0.25">
      <c r="A604" s="16">
        <v>55198</v>
      </c>
      <c r="B604" s="17" t="s">
        <v>34</v>
      </c>
      <c r="C604" s="18" t="s">
        <v>33</v>
      </c>
    </row>
    <row r="605" spans="1:3" ht="13.5" thickBot="1" x14ac:dyDescent="0.25">
      <c r="A605" s="16">
        <v>55243</v>
      </c>
      <c r="B605" s="17" t="s">
        <v>35</v>
      </c>
      <c r="C605" s="18" t="s">
        <v>36</v>
      </c>
    </row>
    <row r="606" spans="1:3" ht="13.5" thickBot="1" x14ac:dyDescent="0.25">
      <c r="A606" s="16">
        <v>55264</v>
      </c>
      <c r="B606" s="17" t="s">
        <v>35</v>
      </c>
      <c r="C606" s="18" t="s">
        <v>38</v>
      </c>
    </row>
    <row r="607" spans="1:3" ht="13.5" thickBot="1" x14ac:dyDescent="0.25">
      <c r="A607" s="16">
        <v>55274</v>
      </c>
      <c r="B607" s="17" t="s">
        <v>31</v>
      </c>
      <c r="C607" s="18" t="s">
        <v>39</v>
      </c>
    </row>
    <row r="608" spans="1:3" ht="13.5" thickBot="1" x14ac:dyDescent="0.25">
      <c r="A608" s="16">
        <v>55305</v>
      </c>
      <c r="B608" s="17" t="s">
        <v>40</v>
      </c>
      <c r="C608" s="18" t="s">
        <v>41</v>
      </c>
    </row>
    <row r="609" spans="1:3" ht="13.5" thickBot="1" x14ac:dyDescent="0.25">
      <c r="A609" s="16">
        <v>55403</v>
      </c>
      <c r="B609" s="17" t="s">
        <v>40</v>
      </c>
      <c r="C609" s="18" t="s">
        <v>42</v>
      </c>
    </row>
    <row r="610" spans="1:3" ht="14.25" thickBot="1" x14ac:dyDescent="0.25">
      <c r="A610" s="16">
        <v>55438</v>
      </c>
      <c r="B610" s="17" t="s">
        <v>40</v>
      </c>
      <c r="C610" s="18" t="s">
        <v>43</v>
      </c>
    </row>
    <row r="611" spans="1:3" ht="13.5" thickBot="1" x14ac:dyDescent="0.25">
      <c r="A611" s="16">
        <v>55459</v>
      </c>
      <c r="B611" s="17" t="s">
        <v>40</v>
      </c>
      <c r="C611" s="18" t="s">
        <v>44</v>
      </c>
    </row>
    <row r="612" spans="1:3" ht="13.5" thickBot="1" x14ac:dyDescent="0.25">
      <c r="A612" s="16">
        <v>55472</v>
      </c>
      <c r="B612" s="17" t="s">
        <v>48</v>
      </c>
      <c r="C612" s="18" t="s">
        <v>45</v>
      </c>
    </row>
    <row r="613" spans="1:3" ht="13.5" thickBot="1" x14ac:dyDescent="0.25">
      <c r="A613" s="16">
        <v>55512</v>
      </c>
      <c r="B613" s="17" t="s">
        <v>31</v>
      </c>
      <c r="C613" s="18" t="s">
        <v>46</v>
      </c>
    </row>
    <row r="614" spans="1:3" ht="13.5" thickBot="1" x14ac:dyDescent="0.25">
      <c r="A614" s="19">
        <v>55519</v>
      </c>
      <c r="B614" s="20" t="s">
        <v>31</v>
      </c>
      <c r="C614" s="21" t="s">
        <v>32</v>
      </c>
    </row>
    <row r="615" spans="1:3" ht="13.5" thickBot="1" x14ac:dyDescent="0.25">
      <c r="A615" s="22">
        <v>55582</v>
      </c>
      <c r="B615" s="23" t="s">
        <v>31</v>
      </c>
      <c r="C615" s="24" t="s">
        <v>33</v>
      </c>
    </row>
    <row r="616" spans="1:3" ht="13.5" thickBot="1" x14ac:dyDescent="0.25">
      <c r="A616" s="22">
        <v>55583</v>
      </c>
      <c r="B616" s="23" t="s">
        <v>34</v>
      </c>
      <c r="C616" s="24" t="s">
        <v>33</v>
      </c>
    </row>
    <row r="617" spans="1:3" ht="13.5" thickBot="1" x14ac:dyDescent="0.25">
      <c r="A617" s="22">
        <v>55628</v>
      </c>
      <c r="B617" s="23" t="s">
        <v>35</v>
      </c>
      <c r="C617" s="24" t="s">
        <v>36</v>
      </c>
    </row>
    <row r="618" spans="1:3" ht="13.5" thickBot="1" x14ac:dyDescent="0.25">
      <c r="A618" s="22">
        <v>55630</v>
      </c>
      <c r="B618" s="23" t="s">
        <v>47</v>
      </c>
      <c r="C618" s="24" t="s">
        <v>38</v>
      </c>
    </row>
    <row r="619" spans="1:3" ht="13.5" thickBot="1" x14ac:dyDescent="0.25">
      <c r="A619" s="22">
        <v>55640</v>
      </c>
      <c r="B619" s="23" t="s">
        <v>48</v>
      </c>
      <c r="C619" s="24" t="s">
        <v>39</v>
      </c>
    </row>
    <row r="620" spans="1:3" ht="13.5" thickBot="1" x14ac:dyDescent="0.25">
      <c r="A620" s="22">
        <v>55690</v>
      </c>
      <c r="B620" s="23" t="s">
        <v>40</v>
      </c>
      <c r="C620" s="24" t="s">
        <v>41</v>
      </c>
    </row>
    <row r="621" spans="1:3" ht="13.5" thickBot="1" x14ac:dyDescent="0.25">
      <c r="A621" s="22">
        <v>55769</v>
      </c>
      <c r="B621" s="23" t="s">
        <v>37</v>
      </c>
      <c r="C621" s="24" t="s">
        <v>42</v>
      </c>
    </row>
    <row r="622" spans="1:3" ht="14.25" thickBot="1" x14ac:dyDescent="0.25">
      <c r="A622" s="22">
        <v>55804</v>
      </c>
      <c r="B622" s="23" t="s">
        <v>37</v>
      </c>
      <c r="C622" s="24" t="s">
        <v>43</v>
      </c>
    </row>
    <row r="623" spans="1:3" ht="13.5" thickBot="1" x14ac:dyDescent="0.25">
      <c r="A623" s="22">
        <v>55825</v>
      </c>
      <c r="B623" s="23" t="s">
        <v>37</v>
      </c>
      <c r="C623" s="24" t="s">
        <v>44</v>
      </c>
    </row>
    <row r="624" spans="1:3" ht="13.5" thickBot="1" x14ac:dyDescent="0.25">
      <c r="A624" s="22">
        <v>55838</v>
      </c>
      <c r="B624" s="23" t="s">
        <v>35</v>
      </c>
      <c r="C624" s="24" t="s">
        <v>45</v>
      </c>
    </row>
    <row r="625" spans="1:3" ht="13.5" thickBot="1" x14ac:dyDescent="0.25">
      <c r="A625" s="22">
        <v>55878</v>
      </c>
      <c r="B625" s="23" t="s">
        <v>48</v>
      </c>
      <c r="C625" s="24" t="s">
        <v>46</v>
      </c>
    </row>
    <row r="626" spans="1:3" ht="13.5" thickBot="1" x14ac:dyDescent="0.25">
      <c r="A626" s="25">
        <v>55885</v>
      </c>
      <c r="B626" s="26" t="s">
        <v>48</v>
      </c>
      <c r="C626" s="27" t="s">
        <v>32</v>
      </c>
    </row>
    <row r="627" spans="1:3" ht="13.5" thickBot="1" x14ac:dyDescent="0.25">
      <c r="A627" s="16">
        <v>55932</v>
      </c>
      <c r="B627" s="17" t="s">
        <v>31</v>
      </c>
      <c r="C627" s="18" t="s">
        <v>33</v>
      </c>
    </row>
    <row r="628" spans="1:3" ht="13.5" thickBot="1" x14ac:dyDescent="0.25">
      <c r="A628" s="16">
        <v>55933</v>
      </c>
      <c r="B628" s="17" t="s">
        <v>34</v>
      </c>
      <c r="C628" s="18" t="s">
        <v>33</v>
      </c>
    </row>
    <row r="629" spans="1:3" ht="13.5" thickBot="1" x14ac:dyDescent="0.25">
      <c r="A629" s="16">
        <v>55978</v>
      </c>
      <c r="B629" s="17" t="s">
        <v>35</v>
      </c>
      <c r="C629" s="18" t="s">
        <v>36</v>
      </c>
    </row>
    <row r="630" spans="1:3" ht="13.5" thickBot="1" x14ac:dyDescent="0.25">
      <c r="A630" s="16">
        <v>55995</v>
      </c>
      <c r="B630" s="17" t="s">
        <v>31</v>
      </c>
      <c r="C630" s="18" t="s">
        <v>38</v>
      </c>
    </row>
    <row r="631" spans="1:3" ht="13.5" thickBot="1" x14ac:dyDescent="0.25">
      <c r="A631" s="16">
        <v>56005</v>
      </c>
      <c r="B631" s="17" t="s">
        <v>40</v>
      </c>
      <c r="C631" s="18" t="s">
        <v>39</v>
      </c>
    </row>
    <row r="632" spans="1:3" ht="13.5" thickBot="1" x14ac:dyDescent="0.25">
      <c r="A632" s="16">
        <v>56040</v>
      </c>
      <c r="B632" s="17" t="s">
        <v>40</v>
      </c>
      <c r="C632" s="18" t="s">
        <v>41</v>
      </c>
    </row>
    <row r="633" spans="1:3" ht="13.5" thickBot="1" x14ac:dyDescent="0.25">
      <c r="A633" s="16">
        <v>56134</v>
      </c>
      <c r="B633" s="17" t="s">
        <v>47</v>
      </c>
      <c r="C633" s="18" t="s">
        <v>42</v>
      </c>
    </row>
    <row r="634" spans="1:3" ht="14.25" thickBot="1" x14ac:dyDescent="0.25">
      <c r="A634" s="16">
        <v>56169</v>
      </c>
      <c r="B634" s="17" t="s">
        <v>47</v>
      </c>
      <c r="C634" s="18" t="s">
        <v>43</v>
      </c>
    </row>
    <row r="635" spans="1:3" ht="13.5" thickBot="1" x14ac:dyDescent="0.25">
      <c r="A635" s="16">
        <v>56190</v>
      </c>
      <c r="B635" s="17" t="s">
        <v>47</v>
      </c>
      <c r="C635" s="18" t="s">
        <v>44</v>
      </c>
    </row>
    <row r="636" spans="1:3" ht="13.5" thickBot="1" x14ac:dyDescent="0.25">
      <c r="A636" s="16">
        <v>56203</v>
      </c>
      <c r="B636" s="17" t="s">
        <v>37</v>
      </c>
      <c r="C636" s="18" t="s">
        <v>45</v>
      </c>
    </row>
    <row r="637" spans="1:3" ht="13.5" thickBot="1" x14ac:dyDescent="0.25">
      <c r="A637" s="16">
        <v>56243</v>
      </c>
      <c r="B637" s="17" t="s">
        <v>40</v>
      </c>
      <c r="C637" s="18" t="s">
        <v>46</v>
      </c>
    </row>
    <row r="638" spans="1:3" ht="13.5" thickBot="1" x14ac:dyDescent="0.25">
      <c r="A638" s="19">
        <v>56250</v>
      </c>
      <c r="B638" s="20" t="s">
        <v>40</v>
      </c>
      <c r="C638" s="21" t="s">
        <v>32</v>
      </c>
    </row>
    <row r="639" spans="1:3" ht="13.5" thickBot="1" x14ac:dyDescent="0.25">
      <c r="A639" s="22">
        <v>56289</v>
      </c>
      <c r="B639" s="23" t="s">
        <v>31</v>
      </c>
      <c r="C639" s="24" t="s">
        <v>33</v>
      </c>
    </row>
    <row r="640" spans="1:3" ht="13.5" thickBot="1" x14ac:dyDescent="0.25">
      <c r="A640" s="22">
        <v>56290</v>
      </c>
      <c r="B640" s="23" t="s">
        <v>34</v>
      </c>
      <c r="C640" s="24" t="s">
        <v>33</v>
      </c>
    </row>
    <row r="641" spans="1:3" ht="13.5" thickBot="1" x14ac:dyDescent="0.25">
      <c r="A641" s="22">
        <v>56335</v>
      </c>
      <c r="B641" s="23" t="s">
        <v>35</v>
      </c>
      <c r="C641" s="24" t="s">
        <v>36</v>
      </c>
    </row>
    <row r="642" spans="1:3" ht="13.5" thickBot="1" x14ac:dyDescent="0.25">
      <c r="A642" s="22">
        <v>56360</v>
      </c>
      <c r="B642" s="23" t="s">
        <v>34</v>
      </c>
      <c r="C642" s="24" t="s">
        <v>38</v>
      </c>
    </row>
    <row r="643" spans="1:3" ht="13.5" thickBot="1" x14ac:dyDescent="0.25">
      <c r="A643" s="22">
        <v>56370</v>
      </c>
      <c r="B643" s="23" t="s">
        <v>35</v>
      </c>
      <c r="C643" s="24" t="s">
        <v>39</v>
      </c>
    </row>
    <row r="644" spans="1:3" ht="13.5" thickBot="1" x14ac:dyDescent="0.25">
      <c r="A644" s="22">
        <v>56397</v>
      </c>
      <c r="B644" s="23" t="s">
        <v>40</v>
      </c>
      <c r="C644" s="24" t="s">
        <v>41</v>
      </c>
    </row>
    <row r="645" spans="1:3" ht="13.5" thickBot="1" x14ac:dyDescent="0.25">
      <c r="A645" s="22">
        <v>56499</v>
      </c>
      <c r="B645" s="23" t="s">
        <v>31</v>
      </c>
      <c r="C645" s="24" t="s">
        <v>42</v>
      </c>
    </row>
    <row r="646" spans="1:3" ht="14.25" thickBot="1" x14ac:dyDescent="0.25">
      <c r="A646" s="22">
        <v>56534</v>
      </c>
      <c r="B646" s="23" t="s">
        <v>31</v>
      </c>
      <c r="C646" s="24" t="s">
        <v>43</v>
      </c>
    </row>
    <row r="647" spans="1:3" ht="13.5" thickBot="1" x14ac:dyDescent="0.25">
      <c r="A647" s="22">
        <v>56555</v>
      </c>
      <c r="B647" s="23" t="s">
        <v>31</v>
      </c>
      <c r="C647" s="24" t="s">
        <v>44</v>
      </c>
    </row>
    <row r="648" spans="1:3" ht="13.5" thickBot="1" x14ac:dyDescent="0.25">
      <c r="A648" s="22">
        <v>56568</v>
      </c>
      <c r="B648" s="23" t="s">
        <v>47</v>
      </c>
      <c r="C648" s="24" t="s">
        <v>45</v>
      </c>
    </row>
    <row r="649" spans="1:3" ht="13.5" thickBot="1" x14ac:dyDescent="0.25">
      <c r="A649" s="22">
        <v>56608</v>
      </c>
      <c r="B649" s="23" t="s">
        <v>35</v>
      </c>
      <c r="C649" s="24" t="s">
        <v>46</v>
      </c>
    </row>
    <row r="650" spans="1:3" ht="13.5" thickBot="1" x14ac:dyDescent="0.25">
      <c r="A650" s="25">
        <v>56615</v>
      </c>
      <c r="B650" s="26" t="s">
        <v>35</v>
      </c>
      <c r="C650" s="27" t="s">
        <v>32</v>
      </c>
    </row>
    <row r="651" spans="1:3" ht="13.5" thickBot="1" x14ac:dyDescent="0.25">
      <c r="A651" s="16">
        <v>56674</v>
      </c>
      <c r="B651" s="17" t="s">
        <v>31</v>
      </c>
      <c r="C651" s="18" t="s">
        <v>33</v>
      </c>
    </row>
    <row r="652" spans="1:3" ht="13.5" thickBot="1" x14ac:dyDescent="0.25">
      <c r="A652" s="16">
        <v>56675</v>
      </c>
      <c r="B652" s="17" t="s">
        <v>34</v>
      </c>
      <c r="C652" s="18" t="s">
        <v>33</v>
      </c>
    </row>
    <row r="653" spans="1:3" ht="13.5" thickBot="1" x14ac:dyDescent="0.25">
      <c r="A653" s="16">
        <v>56720</v>
      </c>
      <c r="B653" s="17" t="s">
        <v>35</v>
      </c>
      <c r="C653" s="18" t="s">
        <v>36</v>
      </c>
    </row>
    <row r="654" spans="1:3" ht="13.5" thickBot="1" x14ac:dyDescent="0.25">
      <c r="A654" s="16">
        <v>56725</v>
      </c>
      <c r="B654" s="17" t="s">
        <v>48</v>
      </c>
      <c r="C654" s="18" t="s">
        <v>38</v>
      </c>
    </row>
    <row r="655" spans="1:3" ht="13.5" thickBot="1" x14ac:dyDescent="0.25">
      <c r="A655" s="16">
        <v>56735</v>
      </c>
      <c r="B655" s="17" t="s">
        <v>37</v>
      </c>
      <c r="C655" s="18" t="s">
        <v>39</v>
      </c>
    </row>
    <row r="656" spans="1:3" ht="13.5" thickBot="1" x14ac:dyDescent="0.25">
      <c r="A656" s="16">
        <v>56782</v>
      </c>
      <c r="B656" s="17" t="s">
        <v>40</v>
      </c>
      <c r="C656" s="18" t="s">
        <v>41</v>
      </c>
    </row>
    <row r="657" spans="1:3" ht="13.5" thickBot="1" x14ac:dyDescent="0.25">
      <c r="A657" s="16">
        <v>56864</v>
      </c>
      <c r="B657" s="17" t="s">
        <v>34</v>
      </c>
      <c r="C657" s="18" t="s">
        <v>42</v>
      </c>
    </row>
    <row r="658" spans="1:3" ht="14.25" thickBot="1" x14ac:dyDescent="0.25">
      <c r="A658" s="16">
        <v>56899</v>
      </c>
      <c r="B658" s="17" t="s">
        <v>34</v>
      </c>
      <c r="C658" s="18" t="s">
        <v>43</v>
      </c>
    </row>
    <row r="659" spans="1:3" ht="13.5" thickBot="1" x14ac:dyDescent="0.25">
      <c r="A659" s="16">
        <v>56920</v>
      </c>
      <c r="B659" s="17" t="s">
        <v>34</v>
      </c>
      <c r="C659" s="18" t="s">
        <v>44</v>
      </c>
    </row>
    <row r="660" spans="1:3" ht="13.5" thickBot="1" x14ac:dyDescent="0.25">
      <c r="A660" s="16">
        <v>56933</v>
      </c>
      <c r="B660" s="17" t="s">
        <v>31</v>
      </c>
      <c r="C660" s="18" t="s">
        <v>45</v>
      </c>
    </row>
    <row r="661" spans="1:3" ht="13.5" thickBot="1" x14ac:dyDescent="0.25">
      <c r="A661" s="16">
        <v>56973</v>
      </c>
      <c r="B661" s="17" t="s">
        <v>37</v>
      </c>
      <c r="C661" s="18" t="s">
        <v>46</v>
      </c>
    </row>
    <row r="662" spans="1:3" ht="13.5" thickBot="1" x14ac:dyDescent="0.25">
      <c r="A662" s="19">
        <v>56980</v>
      </c>
      <c r="B662" s="20" t="s">
        <v>37</v>
      </c>
      <c r="C662" s="21" t="s">
        <v>32</v>
      </c>
    </row>
    <row r="663" spans="1:3" ht="13.5" thickBot="1" x14ac:dyDescent="0.25">
      <c r="A663" s="22">
        <v>57024</v>
      </c>
      <c r="B663" s="23" t="s">
        <v>31</v>
      </c>
      <c r="C663" s="24" t="s">
        <v>33</v>
      </c>
    </row>
    <row r="664" spans="1:3" ht="13.5" thickBot="1" x14ac:dyDescent="0.25">
      <c r="A664" s="22">
        <v>57025</v>
      </c>
      <c r="B664" s="23" t="s">
        <v>34</v>
      </c>
      <c r="C664" s="24" t="s">
        <v>33</v>
      </c>
    </row>
    <row r="665" spans="1:3" ht="13.5" thickBot="1" x14ac:dyDescent="0.25">
      <c r="A665" s="22">
        <v>57070</v>
      </c>
      <c r="B665" s="23" t="s">
        <v>35</v>
      </c>
      <c r="C665" s="24" t="s">
        <v>36</v>
      </c>
    </row>
    <row r="666" spans="1:3" ht="13.5" thickBot="1" x14ac:dyDescent="0.25">
      <c r="A666" s="22">
        <v>57091</v>
      </c>
      <c r="B666" s="23" t="s">
        <v>35</v>
      </c>
      <c r="C666" s="24" t="s">
        <v>38</v>
      </c>
    </row>
    <row r="667" spans="1:3" ht="13.5" thickBot="1" x14ac:dyDescent="0.25">
      <c r="A667" s="22">
        <v>57101</v>
      </c>
      <c r="B667" s="23" t="s">
        <v>31</v>
      </c>
      <c r="C667" s="24" t="s">
        <v>39</v>
      </c>
    </row>
    <row r="668" spans="1:3" ht="13.5" thickBot="1" x14ac:dyDescent="0.25">
      <c r="A668" s="22">
        <v>57132</v>
      </c>
      <c r="B668" s="23" t="s">
        <v>40</v>
      </c>
      <c r="C668" s="24" t="s">
        <v>41</v>
      </c>
    </row>
    <row r="669" spans="1:3" ht="13.5" thickBot="1" x14ac:dyDescent="0.25">
      <c r="A669" s="22">
        <v>57230</v>
      </c>
      <c r="B669" s="23" t="s">
        <v>40</v>
      </c>
      <c r="C669" s="24" t="s">
        <v>42</v>
      </c>
    </row>
    <row r="670" spans="1:3" ht="14.25" thickBot="1" x14ac:dyDescent="0.25">
      <c r="A670" s="22">
        <v>57265</v>
      </c>
      <c r="B670" s="23" t="s">
        <v>40</v>
      </c>
      <c r="C670" s="24" t="s">
        <v>43</v>
      </c>
    </row>
    <row r="671" spans="1:3" ht="13.5" thickBot="1" x14ac:dyDescent="0.25">
      <c r="A671" s="22">
        <v>57286</v>
      </c>
      <c r="B671" s="23" t="s">
        <v>40</v>
      </c>
      <c r="C671" s="24" t="s">
        <v>44</v>
      </c>
    </row>
    <row r="672" spans="1:3" ht="13.5" thickBot="1" x14ac:dyDescent="0.25">
      <c r="A672" s="22">
        <v>57299</v>
      </c>
      <c r="B672" s="23" t="s">
        <v>48</v>
      </c>
      <c r="C672" s="24" t="s">
        <v>45</v>
      </c>
    </row>
    <row r="673" spans="1:3" ht="13.5" thickBot="1" x14ac:dyDescent="0.25">
      <c r="A673" s="22">
        <v>57339</v>
      </c>
      <c r="B673" s="23" t="s">
        <v>31</v>
      </c>
      <c r="C673" s="24" t="s">
        <v>46</v>
      </c>
    </row>
    <row r="674" spans="1:3" ht="13.5" thickBot="1" x14ac:dyDescent="0.25">
      <c r="A674" s="25">
        <v>57346</v>
      </c>
      <c r="B674" s="26" t="s">
        <v>31</v>
      </c>
      <c r="C674" s="27" t="s">
        <v>32</v>
      </c>
    </row>
    <row r="675" spans="1:3" ht="13.5" thickBot="1" x14ac:dyDescent="0.25">
      <c r="A675" s="16">
        <v>57409</v>
      </c>
      <c r="B675" s="17" t="s">
        <v>31</v>
      </c>
      <c r="C675" s="18" t="s">
        <v>33</v>
      </c>
    </row>
    <row r="676" spans="1:3" ht="13.5" thickBot="1" x14ac:dyDescent="0.25">
      <c r="A676" s="16">
        <v>57410</v>
      </c>
      <c r="B676" s="17" t="s">
        <v>34</v>
      </c>
      <c r="C676" s="18" t="s">
        <v>33</v>
      </c>
    </row>
    <row r="677" spans="1:3" ht="13.5" thickBot="1" x14ac:dyDescent="0.25">
      <c r="A677" s="16">
        <v>57455</v>
      </c>
      <c r="B677" s="17" t="s">
        <v>35</v>
      </c>
      <c r="C677" s="18" t="s">
        <v>36</v>
      </c>
    </row>
    <row r="678" spans="1:3" ht="13.5" thickBot="1" x14ac:dyDescent="0.25">
      <c r="A678" s="16">
        <v>57456</v>
      </c>
      <c r="B678" s="17" t="s">
        <v>37</v>
      </c>
      <c r="C678" s="18" t="s">
        <v>38</v>
      </c>
    </row>
    <row r="679" spans="1:3" ht="13.5" thickBot="1" x14ac:dyDescent="0.25">
      <c r="A679" s="16">
        <v>57466</v>
      </c>
      <c r="B679" s="17" t="s">
        <v>34</v>
      </c>
      <c r="C679" s="18" t="s">
        <v>39</v>
      </c>
    </row>
    <row r="680" spans="1:3" ht="13.5" thickBot="1" x14ac:dyDescent="0.25">
      <c r="A680" s="16">
        <v>57517</v>
      </c>
      <c r="B680" s="17" t="s">
        <v>40</v>
      </c>
      <c r="C680" s="18" t="s">
        <v>41</v>
      </c>
    </row>
    <row r="681" spans="1:3" ht="13.5" thickBot="1" x14ac:dyDescent="0.25">
      <c r="A681" s="16">
        <v>57595</v>
      </c>
      <c r="B681" s="17" t="s">
        <v>35</v>
      </c>
      <c r="C681" s="18" t="s">
        <v>42</v>
      </c>
    </row>
    <row r="682" spans="1:3" ht="14.25" thickBot="1" x14ac:dyDescent="0.25">
      <c r="A682" s="16">
        <v>57630</v>
      </c>
      <c r="B682" s="17" t="s">
        <v>35</v>
      </c>
      <c r="C682" s="18" t="s">
        <v>43</v>
      </c>
    </row>
    <row r="683" spans="1:3" ht="13.5" thickBot="1" x14ac:dyDescent="0.25">
      <c r="A683" s="16">
        <v>57651</v>
      </c>
      <c r="B683" s="17" t="s">
        <v>35</v>
      </c>
      <c r="C683" s="18" t="s">
        <v>44</v>
      </c>
    </row>
    <row r="684" spans="1:3" ht="13.5" thickBot="1" x14ac:dyDescent="0.25">
      <c r="A684" s="16">
        <v>57664</v>
      </c>
      <c r="B684" s="17" t="s">
        <v>40</v>
      </c>
      <c r="C684" s="18" t="s">
        <v>45</v>
      </c>
    </row>
    <row r="685" spans="1:3" ht="13.5" thickBot="1" x14ac:dyDescent="0.25">
      <c r="A685" s="16">
        <v>57704</v>
      </c>
      <c r="B685" s="17" t="s">
        <v>34</v>
      </c>
      <c r="C685" s="18" t="s">
        <v>46</v>
      </c>
    </row>
    <row r="686" spans="1:3" ht="13.5" thickBot="1" x14ac:dyDescent="0.25">
      <c r="A686" s="19">
        <v>57711</v>
      </c>
      <c r="B686" s="20" t="s">
        <v>34</v>
      </c>
      <c r="C686" s="21" t="s">
        <v>32</v>
      </c>
    </row>
    <row r="687" spans="1:3" ht="13.5" thickBot="1" x14ac:dyDescent="0.25">
      <c r="A687" s="22">
        <v>57766</v>
      </c>
      <c r="B687" s="23" t="s">
        <v>31</v>
      </c>
      <c r="C687" s="24" t="s">
        <v>33</v>
      </c>
    </row>
    <row r="688" spans="1:3" ht="13.5" thickBot="1" x14ac:dyDescent="0.25">
      <c r="A688" s="22">
        <v>57767</v>
      </c>
      <c r="B688" s="23" t="s">
        <v>34</v>
      </c>
      <c r="C688" s="24" t="s">
        <v>33</v>
      </c>
    </row>
    <row r="689" spans="1:3" ht="13.5" thickBot="1" x14ac:dyDescent="0.25">
      <c r="A689" s="22">
        <v>57812</v>
      </c>
      <c r="B689" s="23" t="s">
        <v>35</v>
      </c>
      <c r="C689" s="24" t="s">
        <v>36</v>
      </c>
    </row>
    <row r="690" spans="1:3" ht="13.5" thickBot="1" x14ac:dyDescent="0.25">
      <c r="A690" s="22">
        <v>57821</v>
      </c>
      <c r="B690" s="23" t="s">
        <v>47</v>
      </c>
      <c r="C690" s="24" t="s">
        <v>38</v>
      </c>
    </row>
    <row r="691" spans="1:3" ht="13.5" thickBot="1" x14ac:dyDescent="0.25">
      <c r="A691" s="22">
        <v>57831</v>
      </c>
      <c r="B691" s="23" t="s">
        <v>48</v>
      </c>
      <c r="C691" s="24" t="s">
        <v>39</v>
      </c>
    </row>
    <row r="692" spans="1:3" ht="13.5" thickBot="1" x14ac:dyDescent="0.25">
      <c r="A692" s="22">
        <v>57874</v>
      </c>
      <c r="B692" s="23" t="s">
        <v>40</v>
      </c>
      <c r="C692" s="24" t="s">
        <v>41</v>
      </c>
    </row>
    <row r="693" spans="1:3" ht="13.5" thickBot="1" x14ac:dyDescent="0.25">
      <c r="A693" s="22">
        <v>57960</v>
      </c>
      <c r="B693" s="23" t="s">
        <v>37</v>
      </c>
      <c r="C693" s="24" t="s">
        <v>42</v>
      </c>
    </row>
    <row r="694" spans="1:3" ht="14.25" thickBot="1" x14ac:dyDescent="0.25">
      <c r="A694" s="22">
        <v>57995</v>
      </c>
      <c r="B694" s="23" t="s">
        <v>37</v>
      </c>
      <c r="C694" s="24" t="s">
        <v>43</v>
      </c>
    </row>
    <row r="695" spans="1:3" ht="13.5" thickBot="1" x14ac:dyDescent="0.25">
      <c r="A695" s="22">
        <v>58016</v>
      </c>
      <c r="B695" s="23" t="s">
        <v>37</v>
      </c>
      <c r="C695" s="24" t="s">
        <v>44</v>
      </c>
    </row>
    <row r="696" spans="1:3" ht="13.5" thickBot="1" x14ac:dyDescent="0.25">
      <c r="A696" s="22">
        <v>58029</v>
      </c>
      <c r="B696" s="23" t="s">
        <v>35</v>
      </c>
      <c r="C696" s="24" t="s">
        <v>45</v>
      </c>
    </row>
    <row r="697" spans="1:3" ht="13.5" thickBot="1" x14ac:dyDescent="0.25">
      <c r="A697" s="22">
        <v>58069</v>
      </c>
      <c r="B697" s="23" t="s">
        <v>48</v>
      </c>
      <c r="C697" s="24" t="s">
        <v>46</v>
      </c>
    </row>
    <row r="698" spans="1:3" ht="13.5" thickBot="1" x14ac:dyDescent="0.25">
      <c r="A698" s="25">
        <v>58076</v>
      </c>
      <c r="B698" s="26" t="s">
        <v>48</v>
      </c>
      <c r="C698" s="27" t="s">
        <v>32</v>
      </c>
    </row>
    <row r="699" spans="1:3" ht="13.5" thickBot="1" x14ac:dyDescent="0.25">
      <c r="A699" s="16">
        <v>58116</v>
      </c>
      <c r="B699" s="17" t="s">
        <v>31</v>
      </c>
      <c r="C699" s="18" t="s">
        <v>33</v>
      </c>
    </row>
    <row r="700" spans="1:3" ht="13.5" thickBot="1" x14ac:dyDescent="0.25">
      <c r="A700" s="16">
        <v>58117</v>
      </c>
      <c r="B700" s="17" t="s">
        <v>34</v>
      </c>
      <c r="C700" s="18" t="s">
        <v>33</v>
      </c>
    </row>
    <row r="701" spans="1:3" ht="13.5" thickBot="1" x14ac:dyDescent="0.25">
      <c r="A701" s="16">
        <v>58162</v>
      </c>
      <c r="B701" s="17" t="s">
        <v>35</v>
      </c>
      <c r="C701" s="18" t="s">
        <v>36</v>
      </c>
    </row>
    <row r="702" spans="1:3" ht="13.5" thickBot="1" x14ac:dyDescent="0.25">
      <c r="A702" s="16">
        <v>58186</v>
      </c>
      <c r="B702" s="17" t="s">
        <v>31</v>
      </c>
      <c r="C702" s="18" t="s">
        <v>38</v>
      </c>
    </row>
    <row r="703" spans="1:3" ht="13.5" thickBot="1" x14ac:dyDescent="0.25">
      <c r="A703" s="16">
        <v>58196</v>
      </c>
      <c r="B703" s="17" t="s">
        <v>40</v>
      </c>
      <c r="C703" s="18" t="s">
        <v>39</v>
      </c>
    </row>
    <row r="704" spans="1:3" ht="13.5" thickBot="1" x14ac:dyDescent="0.25">
      <c r="A704" s="16">
        <v>58224</v>
      </c>
      <c r="B704" s="17" t="s">
        <v>40</v>
      </c>
      <c r="C704" s="18" t="s">
        <v>41</v>
      </c>
    </row>
    <row r="705" spans="1:3" ht="13.5" thickBot="1" x14ac:dyDescent="0.25">
      <c r="A705" s="16">
        <v>58325</v>
      </c>
      <c r="B705" s="17" t="s">
        <v>47</v>
      </c>
      <c r="C705" s="18" t="s">
        <v>42</v>
      </c>
    </row>
    <row r="706" spans="1:3" ht="14.25" thickBot="1" x14ac:dyDescent="0.25">
      <c r="A706" s="16">
        <v>58360</v>
      </c>
      <c r="B706" s="17" t="s">
        <v>47</v>
      </c>
      <c r="C706" s="18" t="s">
        <v>43</v>
      </c>
    </row>
    <row r="707" spans="1:3" ht="13.5" thickBot="1" x14ac:dyDescent="0.25">
      <c r="A707" s="16">
        <v>58381</v>
      </c>
      <c r="B707" s="17" t="s">
        <v>47</v>
      </c>
      <c r="C707" s="18" t="s">
        <v>44</v>
      </c>
    </row>
    <row r="708" spans="1:3" ht="13.5" thickBot="1" x14ac:dyDescent="0.25">
      <c r="A708" s="16">
        <v>58394</v>
      </c>
      <c r="B708" s="17" t="s">
        <v>37</v>
      </c>
      <c r="C708" s="18" t="s">
        <v>45</v>
      </c>
    </row>
    <row r="709" spans="1:3" ht="13.5" thickBot="1" x14ac:dyDescent="0.25">
      <c r="A709" s="16">
        <v>58434</v>
      </c>
      <c r="B709" s="17" t="s">
        <v>40</v>
      </c>
      <c r="C709" s="18" t="s">
        <v>46</v>
      </c>
    </row>
    <row r="710" spans="1:3" ht="13.5" thickBot="1" x14ac:dyDescent="0.25">
      <c r="A710" s="19">
        <v>58441</v>
      </c>
      <c r="B710" s="20" t="s">
        <v>40</v>
      </c>
      <c r="C710" s="21" t="s">
        <v>32</v>
      </c>
    </row>
    <row r="711" spans="1:3" ht="13.5" thickBot="1" x14ac:dyDescent="0.25">
      <c r="A711" s="22">
        <v>58501</v>
      </c>
      <c r="B711" s="23" t="s">
        <v>31</v>
      </c>
      <c r="C711" s="24" t="s">
        <v>33</v>
      </c>
    </row>
    <row r="712" spans="1:3" ht="13.5" thickBot="1" x14ac:dyDescent="0.25">
      <c r="A712" s="22">
        <v>58502</v>
      </c>
      <c r="B712" s="23" t="s">
        <v>34</v>
      </c>
      <c r="C712" s="24" t="s">
        <v>33</v>
      </c>
    </row>
    <row r="713" spans="1:3" ht="13.5" thickBot="1" x14ac:dyDescent="0.25">
      <c r="A713" s="22">
        <v>58547</v>
      </c>
      <c r="B713" s="23" t="s">
        <v>35</v>
      </c>
      <c r="C713" s="24" t="s">
        <v>36</v>
      </c>
    </row>
    <row r="714" spans="1:3" ht="13.5" thickBot="1" x14ac:dyDescent="0.25">
      <c r="A714" s="22">
        <v>58552</v>
      </c>
      <c r="B714" s="23" t="s">
        <v>48</v>
      </c>
      <c r="C714" s="24" t="s">
        <v>38</v>
      </c>
    </row>
    <row r="715" spans="1:3" ht="13.5" thickBot="1" x14ac:dyDescent="0.25">
      <c r="A715" s="22">
        <v>58562</v>
      </c>
      <c r="B715" s="23" t="s">
        <v>37</v>
      </c>
      <c r="C715" s="24" t="s">
        <v>39</v>
      </c>
    </row>
    <row r="716" spans="1:3" ht="13.5" thickBot="1" x14ac:dyDescent="0.25">
      <c r="A716" s="22">
        <v>58609</v>
      </c>
      <c r="B716" s="23" t="s">
        <v>40</v>
      </c>
      <c r="C716" s="24" t="s">
        <v>41</v>
      </c>
    </row>
    <row r="717" spans="1:3" ht="13.5" thickBot="1" x14ac:dyDescent="0.25">
      <c r="A717" s="22">
        <v>58691</v>
      </c>
      <c r="B717" s="23" t="s">
        <v>34</v>
      </c>
      <c r="C717" s="24" t="s">
        <v>42</v>
      </c>
    </row>
    <row r="718" spans="1:3" ht="14.25" thickBot="1" x14ac:dyDescent="0.25">
      <c r="A718" s="22">
        <v>58726</v>
      </c>
      <c r="B718" s="23" t="s">
        <v>34</v>
      </c>
      <c r="C718" s="24" t="s">
        <v>43</v>
      </c>
    </row>
    <row r="719" spans="1:3" ht="13.5" thickBot="1" x14ac:dyDescent="0.25">
      <c r="A719" s="22">
        <v>58747</v>
      </c>
      <c r="B719" s="23" t="s">
        <v>34</v>
      </c>
      <c r="C719" s="24" t="s">
        <v>44</v>
      </c>
    </row>
    <row r="720" spans="1:3" ht="13.5" thickBot="1" x14ac:dyDescent="0.25">
      <c r="A720" s="22">
        <v>58760</v>
      </c>
      <c r="B720" s="23" t="s">
        <v>31</v>
      </c>
      <c r="C720" s="24" t="s">
        <v>45</v>
      </c>
    </row>
    <row r="721" spans="1:3" ht="13.5" thickBot="1" x14ac:dyDescent="0.25">
      <c r="A721" s="22">
        <v>58800</v>
      </c>
      <c r="B721" s="23" t="s">
        <v>37</v>
      </c>
      <c r="C721" s="24" t="s">
        <v>46</v>
      </c>
    </row>
    <row r="722" spans="1:3" ht="13.5" thickBot="1" x14ac:dyDescent="0.25">
      <c r="A722" s="25">
        <v>58807</v>
      </c>
      <c r="B722" s="26" t="s">
        <v>37</v>
      </c>
      <c r="C722" s="27" t="s">
        <v>32</v>
      </c>
    </row>
    <row r="723" spans="1:3" ht="13.5" thickBot="1" x14ac:dyDescent="0.25">
      <c r="A723" s="16">
        <v>58858</v>
      </c>
      <c r="B723" s="17" t="s">
        <v>31</v>
      </c>
      <c r="C723" s="18" t="s">
        <v>33</v>
      </c>
    </row>
    <row r="724" spans="1:3" ht="13.5" thickBot="1" x14ac:dyDescent="0.25">
      <c r="A724" s="16">
        <v>58859</v>
      </c>
      <c r="B724" s="17" t="s">
        <v>34</v>
      </c>
      <c r="C724" s="18" t="s">
        <v>33</v>
      </c>
    </row>
    <row r="725" spans="1:3" ht="13.5" thickBot="1" x14ac:dyDescent="0.25">
      <c r="A725" s="16">
        <v>58904</v>
      </c>
      <c r="B725" s="17" t="s">
        <v>35</v>
      </c>
      <c r="C725" s="18" t="s">
        <v>36</v>
      </c>
    </row>
    <row r="726" spans="1:3" ht="13.5" thickBot="1" x14ac:dyDescent="0.25">
      <c r="A726" s="16">
        <v>58917</v>
      </c>
      <c r="B726" s="17" t="s">
        <v>40</v>
      </c>
      <c r="C726" s="18" t="s">
        <v>38</v>
      </c>
    </row>
    <row r="727" spans="1:3" ht="13.5" thickBot="1" x14ac:dyDescent="0.25">
      <c r="A727" s="16">
        <v>58927</v>
      </c>
      <c r="B727" s="17" t="s">
        <v>47</v>
      </c>
      <c r="C727" s="18" t="s">
        <v>39</v>
      </c>
    </row>
    <row r="728" spans="1:3" ht="13.5" thickBot="1" x14ac:dyDescent="0.25">
      <c r="A728" s="16">
        <v>58966</v>
      </c>
      <c r="B728" s="17" t="s">
        <v>40</v>
      </c>
      <c r="C728" s="18" t="s">
        <v>41</v>
      </c>
    </row>
    <row r="729" spans="1:3" ht="13.5" thickBot="1" x14ac:dyDescent="0.25">
      <c r="A729" s="16">
        <v>59056</v>
      </c>
      <c r="B729" s="17" t="s">
        <v>48</v>
      </c>
      <c r="C729" s="18" t="s">
        <v>42</v>
      </c>
    </row>
    <row r="730" spans="1:3" ht="14.25" thickBot="1" x14ac:dyDescent="0.25">
      <c r="A730" s="16">
        <v>59091</v>
      </c>
      <c r="B730" s="17" t="s">
        <v>48</v>
      </c>
      <c r="C730" s="18" t="s">
        <v>43</v>
      </c>
    </row>
    <row r="731" spans="1:3" ht="13.5" thickBot="1" x14ac:dyDescent="0.25">
      <c r="A731" s="16">
        <v>59112</v>
      </c>
      <c r="B731" s="17" t="s">
        <v>48</v>
      </c>
      <c r="C731" s="18" t="s">
        <v>44</v>
      </c>
    </row>
    <row r="732" spans="1:3" ht="13.5" thickBot="1" x14ac:dyDescent="0.25">
      <c r="A732" s="16">
        <v>59125</v>
      </c>
      <c r="B732" s="17" t="s">
        <v>34</v>
      </c>
      <c r="C732" s="18" t="s">
        <v>45</v>
      </c>
    </row>
    <row r="733" spans="1:3" ht="13.5" thickBot="1" x14ac:dyDescent="0.25">
      <c r="A733" s="16">
        <v>59165</v>
      </c>
      <c r="B733" s="17" t="s">
        <v>47</v>
      </c>
      <c r="C733" s="18" t="s">
        <v>46</v>
      </c>
    </row>
    <row r="734" spans="1:3" ht="13.5" thickBot="1" x14ac:dyDescent="0.25">
      <c r="A734" s="19">
        <v>59172</v>
      </c>
      <c r="B734" s="20" t="s">
        <v>47</v>
      </c>
      <c r="C734" s="21" t="s">
        <v>32</v>
      </c>
    </row>
    <row r="735" spans="1:3" ht="13.5" thickBot="1" x14ac:dyDescent="0.25">
      <c r="A735" s="22">
        <v>59208</v>
      </c>
      <c r="B735" s="23" t="s">
        <v>31</v>
      </c>
      <c r="C735" s="24" t="s">
        <v>33</v>
      </c>
    </row>
    <row r="736" spans="1:3" ht="13.5" thickBot="1" x14ac:dyDescent="0.25">
      <c r="A736" s="22">
        <v>59209</v>
      </c>
      <c r="B736" s="23" t="s">
        <v>34</v>
      </c>
      <c r="C736" s="24" t="s">
        <v>33</v>
      </c>
    </row>
    <row r="737" spans="1:3" ht="13.5" thickBot="1" x14ac:dyDescent="0.25">
      <c r="A737" s="22">
        <v>59254</v>
      </c>
      <c r="B737" s="23" t="s">
        <v>35</v>
      </c>
      <c r="C737" s="24" t="s">
        <v>36</v>
      </c>
    </row>
    <row r="738" spans="1:3" ht="13.5" thickBot="1" x14ac:dyDescent="0.25">
      <c r="A738" s="22">
        <v>59282</v>
      </c>
      <c r="B738" s="23" t="s">
        <v>35</v>
      </c>
      <c r="C738" s="24" t="s">
        <v>38</v>
      </c>
    </row>
    <row r="739" spans="1:3" ht="13.5" thickBot="1" x14ac:dyDescent="0.25">
      <c r="A739" s="22">
        <v>59292</v>
      </c>
      <c r="B739" s="23" t="s">
        <v>31</v>
      </c>
      <c r="C739" s="24" t="s">
        <v>39</v>
      </c>
    </row>
    <row r="740" spans="1:3" ht="13.5" thickBot="1" x14ac:dyDescent="0.25">
      <c r="A740" s="22">
        <v>59316</v>
      </c>
      <c r="B740" s="23" t="s">
        <v>40</v>
      </c>
      <c r="C740" s="24" t="s">
        <v>41</v>
      </c>
    </row>
    <row r="741" spans="1:3" ht="13.5" thickBot="1" x14ac:dyDescent="0.25">
      <c r="A741" s="22">
        <v>59421</v>
      </c>
      <c r="B741" s="23" t="s">
        <v>40</v>
      </c>
      <c r="C741" s="24" t="s">
        <v>42</v>
      </c>
    </row>
    <row r="742" spans="1:3" ht="14.25" thickBot="1" x14ac:dyDescent="0.25">
      <c r="A742" s="22">
        <v>59456</v>
      </c>
      <c r="B742" s="23" t="s">
        <v>40</v>
      </c>
      <c r="C742" s="24" t="s">
        <v>43</v>
      </c>
    </row>
    <row r="743" spans="1:3" ht="13.5" thickBot="1" x14ac:dyDescent="0.25">
      <c r="A743" s="22">
        <v>59477</v>
      </c>
      <c r="B743" s="23" t="s">
        <v>40</v>
      </c>
      <c r="C743" s="24" t="s">
        <v>44</v>
      </c>
    </row>
    <row r="744" spans="1:3" ht="13.5" thickBot="1" x14ac:dyDescent="0.25">
      <c r="A744" s="22">
        <v>59490</v>
      </c>
      <c r="B744" s="23" t="s">
        <v>48</v>
      </c>
      <c r="C744" s="24" t="s">
        <v>45</v>
      </c>
    </row>
    <row r="745" spans="1:3" ht="13.5" thickBot="1" x14ac:dyDescent="0.25">
      <c r="A745" s="22">
        <v>59530</v>
      </c>
      <c r="B745" s="23" t="s">
        <v>31</v>
      </c>
      <c r="C745" s="24" t="s">
        <v>46</v>
      </c>
    </row>
    <row r="746" spans="1:3" ht="13.5" thickBot="1" x14ac:dyDescent="0.25">
      <c r="A746" s="25">
        <v>59537</v>
      </c>
      <c r="B746" s="26" t="s">
        <v>31</v>
      </c>
      <c r="C746" s="27" t="s">
        <v>32</v>
      </c>
    </row>
    <row r="747" spans="1:3" ht="13.5" thickBot="1" x14ac:dyDescent="0.25">
      <c r="A747" s="16">
        <v>59593</v>
      </c>
      <c r="B747" s="17" t="s">
        <v>31</v>
      </c>
      <c r="C747" s="18" t="s">
        <v>33</v>
      </c>
    </row>
    <row r="748" spans="1:3" ht="13.5" thickBot="1" x14ac:dyDescent="0.25">
      <c r="A748" s="16">
        <v>59594</v>
      </c>
      <c r="B748" s="17" t="s">
        <v>34</v>
      </c>
      <c r="C748" s="18" t="s">
        <v>33</v>
      </c>
    </row>
    <row r="749" spans="1:3" ht="13.5" thickBot="1" x14ac:dyDescent="0.25">
      <c r="A749" s="16">
        <v>59639</v>
      </c>
      <c r="B749" s="17" t="s">
        <v>35</v>
      </c>
      <c r="C749" s="18" t="s">
        <v>36</v>
      </c>
    </row>
    <row r="750" spans="1:3" ht="13.5" thickBot="1" x14ac:dyDescent="0.25">
      <c r="A750" s="16">
        <v>59647</v>
      </c>
      <c r="B750" s="17" t="s">
        <v>37</v>
      </c>
      <c r="C750" s="18" t="s">
        <v>38</v>
      </c>
    </row>
    <row r="751" spans="1:3" ht="13.5" thickBot="1" x14ac:dyDescent="0.25">
      <c r="A751" s="16">
        <v>59657</v>
      </c>
      <c r="B751" s="17" t="s">
        <v>34</v>
      </c>
      <c r="C751" s="18" t="s">
        <v>39</v>
      </c>
    </row>
    <row r="752" spans="1:3" ht="13.5" thickBot="1" x14ac:dyDescent="0.25">
      <c r="A752" s="16">
        <v>59701</v>
      </c>
      <c r="B752" s="17" t="s">
        <v>40</v>
      </c>
      <c r="C752" s="18" t="s">
        <v>41</v>
      </c>
    </row>
    <row r="753" spans="1:3" ht="13.5" thickBot="1" x14ac:dyDescent="0.25">
      <c r="A753" s="16">
        <v>59786</v>
      </c>
      <c r="B753" s="17" t="s">
        <v>35</v>
      </c>
      <c r="C753" s="18" t="s">
        <v>42</v>
      </c>
    </row>
    <row r="754" spans="1:3" ht="14.25" thickBot="1" x14ac:dyDescent="0.25">
      <c r="A754" s="16">
        <v>59821</v>
      </c>
      <c r="B754" s="17" t="s">
        <v>35</v>
      </c>
      <c r="C754" s="18" t="s">
        <v>43</v>
      </c>
    </row>
    <row r="755" spans="1:3" ht="13.5" thickBot="1" x14ac:dyDescent="0.25">
      <c r="A755" s="16">
        <v>59842</v>
      </c>
      <c r="B755" s="17" t="s">
        <v>35</v>
      </c>
      <c r="C755" s="18" t="s">
        <v>44</v>
      </c>
    </row>
    <row r="756" spans="1:3" ht="13.5" thickBot="1" x14ac:dyDescent="0.25">
      <c r="A756" s="16">
        <v>59855</v>
      </c>
      <c r="B756" s="17" t="s">
        <v>40</v>
      </c>
      <c r="C756" s="18" t="s">
        <v>45</v>
      </c>
    </row>
    <row r="757" spans="1:3" ht="13.5" thickBot="1" x14ac:dyDescent="0.25">
      <c r="A757" s="16">
        <v>59895</v>
      </c>
      <c r="B757" s="17" t="s">
        <v>34</v>
      </c>
      <c r="C757" s="18" t="s">
        <v>46</v>
      </c>
    </row>
    <row r="758" spans="1:3" ht="13.5" thickBot="1" x14ac:dyDescent="0.25">
      <c r="A758" s="19">
        <v>59902</v>
      </c>
      <c r="B758" s="20" t="s">
        <v>34</v>
      </c>
      <c r="C758" s="21" t="s">
        <v>32</v>
      </c>
    </row>
    <row r="759" spans="1:3" ht="13.5" thickBot="1" x14ac:dyDescent="0.25">
      <c r="A759" s="22">
        <v>59950</v>
      </c>
      <c r="B759" s="23" t="s">
        <v>31</v>
      </c>
      <c r="C759" s="24" t="s">
        <v>33</v>
      </c>
    </row>
    <row r="760" spans="1:3" ht="13.5" thickBot="1" x14ac:dyDescent="0.25">
      <c r="A760" s="22">
        <v>59951</v>
      </c>
      <c r="B760" s="23" t="s">
        <v>34</v>
      </c>
      <c r="C760" s="24" t="s">
        <v>33</v>
      </c>
    </row>
    <row r="761" spans="1:3" ht="13.5" thickBot="1" x14ac:dyDescent="0.25">
      <c r="A761" s="22">
        <v>59996</v>
      </c>
      <c r="B761" s="23" t="s">
        <v>35</v>
      </c>
      <c r="C761" s="24" t="s">
        <v>36</v>
      </c>
    </row>
    <row r="762" spans="1:3" ht="13.5" thickBot="1" x14ac:dyDescent="0.25">
      <c r="A762" s="22">
        <v>60013</v>
      </c>
      <c r="B762" s="23" t="s">
        <v>31</v>
      </c>
      <c r="C762" s="24" t="s">
        <v>38</v>
      </c>
    </row>
    <row r="763" spans="1:3" ht="13.5" thickBot="1" x14ac:dyDescent="0.25">
      <c r="A763" s="22">
        <v>60023</v>
      </c>
      <c r="B763" s="23" t="s">
        <v>40</v>
      </c>
      <c r="C763" s="24" t="s">
        <v>39</v>
      </c>
    </row>
    <row r="764" spans="1:3" ht="13.5" thickBot="1" x14ac:dyDescent="0.25">
      <c r="A764" s="22">
        <v>60058</v>
      </c>
      <c r="B764" s="23" t="s">
        <v>40</v>
      </c>
      <c r="C764" s="24" t="s">
        <v>41</v>
      </c>
    </row>
    <row r="765" spans="1:3" ht="13.5" thickBot="1" x14ac:dyDescent="0.25">
      <c r="A765" s="22">
        <v>60152</v>
      </c>
      <c r="B765" s="23" t="s">
        <v>47</v>
      </c>
      <c r="C765" s="24" t="s">
        <v>42</v>
      </c>
    </row>
    <row r="766" spans="1:3" ht="14.25" thickBot="1" x14ac:dyDescent="0.25">
      <c r="A766" s="22">
        <v>60187</v>
      </c>
      <c r="B766" s="23" t="s">
        <v>47</v>
      </c>
      <c r="C766" s="24" t="s">
        <v>43</v>
      </c>
    </row>
    <row r="767" spans="1:3" ht="13.5" thickBot="1" x14ac:dyDescent="0.25">
      <c r="A767" s="22">
        <v>60208</v>
      </c>
      <c r="B767" s="23" t="s">
        <v>47</v>
      </c>
      <c r="C767" s="24" t="s">
        <v>44</v>
      </c>
    </row>
    <row r="768" spans="1:3" ht="13.5" thickBot="1" x14ac:dyDescent="0.25">
      <c r="A768" s="22">
        <v>60221</v>
      </c>
      <c r="B768" s="23" t="s">
        <v>37</v>
      </c>
      <c r="C768" s="24" t="s">
        <v>45</v>
      </c>
    </row>
    <row r="769" spans="1:3" ht="13.5" thickBot="1" x14ac:dyDescent="0.25">
      <c r="A769" s="22">
        <v>60261</v>
      </c>
      <c r="B769" s="23" t="s">
        <v>40</v>
      </c>
      <c r="C769" s="24" t="s">
        <v>46</v>
      </c>
    </row>
    <row r="770" spans="1:3" ht="13.5" thickBot="1" x14ac:dyDescent="0.25">
      <c r="A770" s="25">
        <v>60268</v>
      </c>
      <c r="B770" s="26" t="s">
        <v>40</v>
      </c>
      <c r="C770" s="27" t="s">
        <v>32</v>
      </c>
    </row>
    <row r="771" spans="1:3" ht="13.5" thickBot="1" x14ac:dyDescent="0.25">
      <c r="A771" s="16">
        <v>60307</v>
      </c>
      <c r="B771" s="17" t="s">
        <v>31</v>
      </c>
      <c r="C771" s="18" t="s">
        <v>33</v>
      </c>
    </row>
    <row r="772" spans="1:3" ht="13.5" thickBot="1" x14ac:dyDescent="0.25">
      <c r="A772" s="16">
        <v>60308</v>
      </c>
      <c r="B772" s="17" t="s">
        <v>34</v>
      </c>
      <c r="C772" s="18" t="s">
        <v>33</v>
      </c>
    </row>
    <row r="773" spans="1:3" ht="13.5" thickBot="1" x14ac:dyDescent="0.25">
      <c r="A773" s="16">
        <v>60353</v>
      </c>
      <c r="B773" s="17" t="s">
        <v>35</v>
      </c>
      <c r="C773" s="18" t="s">
        <v>36</v>
      </c>
    </row>
    <row r="774" spans="1:3" ht="13.5" thickBot="1" x14ac:dyDescent="0.25">
      <c r="A774" s="16">
        <v>60378</v>
      </c>
      <c r="B774" s="17" t="s">
        <v>34</v>
      </c>
      <c r="C774" s="18" t="s">
        <v>38</v>
      </c>
    </row>
    <row r="775" spans="1:3" ht="13.5" thickBot="1" x14ac:dyDescent="0.25">
      <c r="A775" s="16">
        <v>60388</v>
      </c>
      <c r="B775" s="17" t="s">
        <v>35</v>
      </c>
      <c r="C775" s="18" t="s">
        <v>39</v>
      </c>
    </row>
    <row r="776" spans="1:3" ht="13.5" thickBot="1" x14ac:dyDescent="0.25">
      <c r="A776" s="16">
        <v>60415</v>
      </c>
      <c r="B776" s="17" t="s">
        <v>40</v>
      </c>
      <c r="C776" s="18" t="s">
        <v>41</v>
      </c>
    </row>
    <row r="777" spans="1:3" ht="13.5" thickBot="1" x14ac:dyDescent="0.25">
      <c r="A777" s="16">
        <v>60517</v>
      </c>
      <c r="B777" s="17" t="s">
        <v>31</v>
      </c>
      <c r="C777" s="18" t="s">
        <v>42</v>
      </c>
    </row>
    <row r="778" spans="1:3" ht="14.25" thickBot="1" x14ac:dyDescent="0.25">
      <c r="A778" s="16">
        <v>60552</v>
      </c>
      <c r="B778" s="17" t="s">
        <v>31</v>
      </c>
      <c r="C778" s="18" t="s">
        <v>43</v>
      </c>
    </row>
    <row r="779" spans="1:3" ht="13.5" thickBot="1" x14ac:dyDescent="0.25">
      <c r="A779" s="16">
        <v>60573</v>
      </c>
      <c r="B779" s="17" t="s">
        <v>31</v>
      </c>
      <c r="C779" s="18" t="s">
        <v>44</v>
      </c>
    </row>
    <row r="780" spans="1:3" ht="13.5" thickBot="1" x14ac:dyDescent="0.25">
      <c r="A780" s="16">
        <v>60586</v>
      </c>
      <c r="B780" s="17" t="s">
        <v>47</v>
      </c>
      <c r="C780" s="18" t="s">
        <v>45</v>
      </c>
    </row>
    <row r="781" spans="1:3" ht="13.5" thickBot="1" x14ac:dyDescent="0.25">
      <c r="A781" s="16">
        <v>60626</v>
      </c>
      <c r="B781" s="17" t="s">
        <v>35</v>
      </c>
      <c r="C781" s="18" t="s">
        <v>46</v>
      </c>
    </row>
    <row r="782" spans="1:3" ht="13.5" thickBot="1" x14ac:dyDescent="0.25">
      <c r="A782" s="19">
        <v>60633</v>
      </c>
      <c r="B782" s="20" t="s">
        <v>35</v>
      </c>
      <c r="C782" s="21" t="s">
        <v>32</v>
      </c>
    </row>
    <row r="783" spans="1:3" ht="13.5" thickBot="1" x14ac:dyDescent="0.25">
      <c r="A783" s="22">
        <v>60685</v>
      </c>
      <c r="B783" s="23" t="s">
        <v>31</v>
      </c>
      <c r="C783" s="24" t="s">
        <v>33</v>
      </c>
    </row>
    <row r="784" spans="1:3" ht="13.5" thickBot="1" x14ac:dyDescent="0.25">
      <c r="A784" s="22">
        <v>60686</v>
      </c>
      <c r="B784" s="23" t="s">
        <v>34</v>
      </c>
      <c r="C784" s="24" t="s">
        <v>33</v>
      </c>
    </row>
    <row r="785" spans="1:3" ht="13.5" thickBot="1" x14ac:dyDescent="0.25">
      <c r="A785" s="22">
        <v>60731</v>
      </c>
      <c r="B785" s="23" t="s">
        <v>35</v>
      </c>
      <c r="C785" s="24" t="s">
        <v>36</v>
      </c>
    </row>
    <row r="786" spans="1:3" ht="13.5" thickBot="1" x14ac:dyDescent="0.25">
      <c r="A786" s="22">
        <v>60743</v>
      </c>
      <c r="B786" s="23" t="s">
        <v>48</v>
      </c>
      <c r="C786" s="24" t="s">
        <v>38</v>
      </c>
    </row>
    <row r="787" spans="1:3" ht="13.5" thickBot="1" x14ac:dyDescent="0.25">
      <c r="A787" s="22">
        <v>60753</v>
      </c>
      <c r="B787" s="23" t="s">
        <v>37</v>
      </c>
      <c r="C787" s="24" t="s">
        <v>39</v>
      </c>
    </row>
    <row r="788" spans="1:3" ht="13.5" thickBot="1" x14ac:dyDescent="0.25">
      <c r="A788" s="22">
        <v>60793</v>
      </c>
      <c r="B788" s="23" t="s">
        <v>40</v>
      </c>
      <c r="C788" s="24" t="s">
        <v>41</v>
      </c>
    </row>
    <row r="789" spans="1:3" ht="13.5" thickBot="1" x14ac:dyDescent="0.25">
      <c r="A789" s="22">
        <v>60882</v>
      </c>
      <c r="B789" s="23" t="s">
        <v>34</v>
      </c>
      <c r="C789" s="24" t="s">
        <v>42</v>
      </c>
    </row>
    <row r="790" spans="1:3" ht="14.25" thickBot="1" x14ac:dyDescent="0.25">
      <c r="A790" s="22">
        <v>60917</v>
      </c>
      <c r="B790" s="23" t="s">
        <v>34</v>
      </c>
      <c r="C790" s="24" t="s">
        <v>43</v>
      </c>
    </row>
    <row r="791" spans="1:3" ht="13.5" thickBot="1" x14ac:dyDescent="0.25">
      <c r="A791" s="22">
        <v>60938</v>
      </c>
      <c r="B791" s="23" t="s">
        <v>34</v>
      </c>
      <c r="C791" s="24" t="s">
        <v>44</v>
      </c>
    </row>
    <row r="792" spans="1:3" ht="13.5" thickBot="1" x14ac:dyDescent="0.25">
      <c r="A792" s="22">
        <v>60951</v>
      </c>
      <c r="B792" s="23" t="s">
        <v>31</v>
      </c>
      <c r="C792" s="24" t="s">
        <v>45</v>
      </c>
    </row>
    <row r="793" spans="1:3" ht="13.5" thickBot="1" x14ac:dyDescent="0.25">
      <c r="A793" s="22">
        <v>60991</v>
      </c>
      <c r="B793" s="23" t="s">
        <v>37</v>
      </c>
      <c r="C793" s="24" t="s">
        <v>46</v>
      </c>
    </row>
    <row r="794" spans="1:3" ht="13.5" thickBot="1" x14ac:dyDescent="0.25">
      <c r="A794" s="25">
        <v>60998</v>
      </c>
      <c r="B794" s="26" t="s">
        <v>37</v>
      </c>
      <c r="C794" s="27" t="s">
        <v>32</v>
      </c>
    </row>
    <row r="795" spans="1:3" ht="13.5" thickBot="1" x14ac:dyDescent="0.25">
      <c r="A795" s="16">
        <v>61042</v>
      </c>
      <c r="B795" s="17" t="s">
        <v>31</v>
      </c>
      <c r="C795" s="18" t="s">
        <v>33</v>
      </c>
    </row>
    <row r="796" spans="1:3" ht="13.5" thickBot="1" x14ac:dyDescent="0.25">
      <c r="A796" s="16">
        <v>61043</v>
      </c>
      <c r="B796" s="17" t="s">
        <v>34</v>
      </c>
      <c r="C796" s="18" t="s">
        <v>33</v>
      </c>
    </row>
    <row r="797" spans="1:3" ht="13.5" thickBot="1" x14ac:dyDescent="0.25">
      <c r="A797" s="16">
        <v>61088</v>
      </c>
      <c r="B797" s="17" t="s">
        <v>35</v>
      </c>
      <c r="C797" s="18" t="s">
        <v>36</v>
      </c>
    </row>
    <row r="798" spans="1:3" ht="13.5" thickBot="1" x14ac:dyDescent="0.25">
      <c r="A798" s="16">
        <v>61108</v>
      </c>
      <c r="B798" s="17" t="s">
        <v>40</v>
      </c>
      <c r="C798" s="18" t="s">
        <v>38</v>
      </c>
    </row>
    <row r="799" spans="1:3" ht="13.5" thickBot="1" x14ac:dyDescent="0.25">
      <c r="A799" s="16">
        <v>61118</v>
      </c>
      <c r="B799" s="17" t="s">
        <v>47</v>
      </c>
      <c r="C799" s="18" t="s">
        <v>39</v>
      </c>
    </row>
    <row r="800" spans="1:3" ht="13.5" thickBot="1" x14ac:dyDescent="0.25">
      <c r="A800" s="16">
        <v>61150</v>
      </c>
      <c r="B800" s="17" t="s">
        <v>40</v>
      </c>
      <c r="C800" s="18" t="s">
        <v>41</v>
      </c>
    </row>
    <row r="801" spans="1:3" ht="13.5" thickBot="1" x14ac:dyDescent="0.25">
      <c r="A801" s="16">
        <v>61247</v>
      </c>
      <c r="B801" s="17" t="s">
        <v>48</v>
      </c>
      <c r="C801" s="18" t="s">
        <v>42</v>
      </c>
    </row>
    <row r="802" spans="1:3" ht="14.25" thickBot="1" x14ac:dyDescent="0.25">
      <c r="A802" s="16">
        <v>61282</v>
      </c>
      <c r="B802" s="17" t="s">
        <v>48</v>
      </c>
      <c r="C802" s="18" t="s">
        <v>43</v>
      </c>
    </row>
    <row r="803" spans="1:3" ht="13.5" thickBot="1" x14ac:dyDescent="0.25">
      <c r="A803" s="16">
        <v>61303</v>
      </c>
      <c r="B803" s="17" t="s">
        <v>48</v>
      </c>
      <c r="C803" s="18" t="s">
        <v>44</v>
      </c>
    </row>
    <row r="804" spans="1:3" ht="13.5" thickBot="1" x14ac:dyDescent="0.25">
      <c r="A804" s="16">
        <v>61316</v>
      </c>
      <c r="B804" s="17" t="s">
        <v>34</v>
      </c>
      <c r="C804" s="18" t="s">
        <v>45</v>
      </c>
    </row>
    <row r="805" spans="1:3" ht="13.5" thickBot="1" x14ac:dyDescent="0.25">
      <c r="A805" s="16">
        <v>61356</v>
      </c>
      <c r="B805" s="17" t="s">
        <v>47</v>
      </c>
      <c r="C805" s="18" t="s">
        <v>46</v>
      </c>
    </row>
    <row r="806" spans="1:3" ht="13.5" thickBot="1" x14ac:dyDescent="0.25">
      <c r="A806" s="19">
        <v>61363</v>
      </c>
      <c r="B806" s="20" t="s">
        <v>47</v>
      </c>
      <c r="C806" s="21" t="s">
        <v>32</v>
      </c>
    </row>
    <row r="807" spans="1:3" ht="13.5" thickBot="1" x14ac:dyDescent="0.25">
      <c r="A807" s="22">
        <v>61427</v>
      </c>
      <c r="B807" s="23" t="s">
        <v>31</v>
      </c>
      <c r="C807" s="24" t="s">
        <v>33</v>
      </c>
    </row>
    <row r="808" spans="1:3" ht="13.5" thickBot="1" x14ac:dyDescent="0.25">
      <c r="A808" s="22">
        <v>61428</v>
      </c>
      <c r="B808" s="23" t="s">
        <v>34</v>
      </c>
      <c r="C808" s="24" t="s">
        <v>33</v>
      </c>
    </row>
    <row r="809" spans="1:3" ht="13.5" thickBot="1" x14ac:dyDescent="0.25">
      <c r="A809" s="22">
        <v>61473</v>
      </c>
      <c r="B809" s="23" t="s">
        <v>35</v>
      </c>
      <c r="C809" s="24" t="s">
        <v>36</v>
      </c>
    </row>
    <row r="810" spans="1:3" ht="13.5" thickBot="1" x14ac:dyDescent="0.25">
      <c r="A810" s="22">
        <v>61474</v>
      </c>
      <c r="B810" s="23" t="s">
        <v>37</v>
      </c>
      <c r="C810" s="24" t="s">
        <v>38</v>
      </c>
    </row>
    <row r="811" spans="1:3" ht="13.5" thickBot="1" x14ac:dyDescent="0.25">
      <c r="A811" s="22">
        <v>61484</v>
      </c>
      <c r="B811" s="23" t="s">
        <v>34</v>
      </c>
      <c r="C811" s="24" t="s">
        <v>39</v>
      </c>
    </row>
    <row r="812" spans="1:3" ht="13.5" thickBot="1" x14ac:dyDescent="0.25">
      <c r="A812" s="22">
        <v>61535</v>
      </c>
      <c r="B812" s="23" t="s">
        <v>40</v>
      </c>
      <c r="C812" s="24" t="s">
        <v>41</v>
      </c>
    </row>
    <row r="813" spans="1:3" ht="13.5" thickBot="1" x14ac:dyDescent="0.25">
      <c r="A813" s="22">
        <v>61613</v>
      </c>
      <c r="B813" s="23" t="s">
        <v>35</v>
      </c>
      <c r="C813" s="24" t="s">
        <v>42</v>
      </c>
    </row>
    <row r="814" spans="1:3" ht="14.25" thickBot="1" x14ac:dyDescent="0.25">
      <c r="A814" s="22">
        <v>61648</v>
      </c>
      <c r="B814" s="23" t="s">
        <v>35</v>
      </c>
      <c r="C814" s="24" t="s">
        <v>43</v>
      </c>
    </row>
    <row r="815" spans="1:3" ht="13.5" thickBot="1" x14ac:dyDescent="0.25">
      <c r="A815" s="22">
        <v>61669</v>
      </c>
      <c r="B815" s="23" t="s">
        <v>35</v>
      </c>
      <c r="C815" s="24" t="s">
        <v>44</v>
      </c>
    </row>
    <row r="816" spans="1:3" ht="13.5" thickBot="1" x14ac:dyDescent="0.25">
      <c r="A816" s="22">
        <v>61682</v>
      </c>
      <c r="B816" s="23" t="s">
        <v>40</v>
      </c>
      <c r="C816" s="24" t="s">
        <v>45</v>
      </c>
    </row>
    <row r="817" spans="1:3" ht="13.5" thickBot="1" x14ac:dyDescent="0.25">
      <c r="A817" s="22">
        <v>61722</v>
      </c>
      <c r="B817" s="23" t="s">
        <v>34</v>
      </c>
      <c r="C817" s="24" t="s">
        <v>46</v>
      </c>
    </row>
    <row r="818" spans="1:3" ht="13.5" thickBot="1" x14ac:dyDescent="0.25">
      <c r="A818" s="25">
        <v>61729</v>
      </c>
      <c r="B818" s="26" t="s">
        <v>34</v>
      </c>
      <c r="C818" s="27" t="s">
        <v>32</v>
      </c>
    </row>
    <row r="819" spans="1:3" ht="13.5" thickBot="1" x14ac:dyDescent="0.25">
      <c r="A819" s="16">
        <v>61784</v>
      </c>
      <c r="B819" s="17" t="s">
        <v>31</v>
      </c>
      <c r="C819" s="18" t="s">
        <v>33</v>
      </c>
    </row>
    <row r="820" spans="1:3" ht="13.5" thickBot="1" x14ac:dyDescent="0.25">
      <c r="A820" s="16">
        <v>61785</v>
      </c>
      <c r="B820" s="17" t="s">
        <v>34</v>
      </c>
      <c r="C820" s="18" t="s">
        <v>33</v>
      </c>
    </row>
    <row r="821" spans="1:3" ht="13.5" thickBot="1" x14ac:dyDescent="0.25">
      <c r="A821" s="16">
        <v>61830</v>
      </c>
      <c r="B821" s="17" t="s">
        <v>35</v>
      </c>
      <c r="C821" s="18" t="s">
        <v>36</v>
      </c>
    </row>
    <row r="822" spans="1:3" ht="13.5" thickBot="1" x14ac:dyDescent="0.25">
      <c r="A822" s="16">
        <v>61839</v>
      </c>
      <c r="B822" s="17" t="s">
        <v>47</v>
      </c>
      <c r="C822" s="18" t="s">
        <v>38</v>
      </c>
    </row>
    <row r="823" spans="1:3" ht="13.5" thickBot="1" x14ac:dyDescent="0.25">
      <c r="A823" s="16">
        <v>61849</v>
      </c>
      <c r="B823" s="17" t="s">
        <v>48</v>
      </c>
      <c r="C823" s="18" t="s">
        <v>39</v>
      </c>
    </row>
    <row r="824" spans="1:3" ht="13.5" thickBot="1" x14ac:dyDescent="0.25">
      <c r="A824" s="16">
        <v>61892</v>
      </c>
      <c r="B824" s="17" t="s">
        <v>40</v>
      </c>
      <c r="C824" s="18" t="s">
        <v>41</v>
      </c>
    </row>
    <row r="825" spans="1:3" ht="13.5" thickBot="1" x14ac:dyDescent="0.25">
      <c r="A825" s="16">
        <v>61978</v>
      </c>
      <c r="B825" s="17" t="s">
        <v>37</v>
      </c>
      <c r="C825" s="18" t="s">
        <v>42</v>
      </c>
    </row>
    <row r="826" spans="1:3" ht="14.25" thickBot="1" x14ac:dyDescent="0.25">
      <c r="A826" s="16">
        <v>62013</v>
      </c>
      <c r="B826" s="17" t="s">
        <v>37</v>
      </c>
      <c r="C826" s="18" t="s">
        <v>43</v>
      </c>
    </row>
    <row r="827" spans="1:3" ht="13.5" thickBot="1" x14ac:dyDescent="0.25">
      <c r="A827" s="16">
        <v>62034</v>
      </c>
      <c r="B827" s="17" t="s">
        <v>37</v>
      </c>
      <c r="C827" s="18" t="s">
        <v>44</v>
      </c>
    </row>
    <row r="828" spans="1:3" ht="13.5" thickBot="1" x14ac:dyDescent="0.25">
      <c r="A828" s="16">
        <v>62047</v>
      </c>
      <c r="B828" s="17" t="s">
        <v>35</v>
      </c>
      <c r="C828" s="18" t="s">
        <v>45</v>
      </c>
    </row>
    <row r="829" spans="1:3" ht="13.5" thickBot="1" x14ac:dyDescent="0.25">
      <c r="A829" s="16">
        <v>62087</v>
      </c>
      <c r="B829" s="17" t="s">
        <v>48</v>
      </c>
      <c r="C829" s="18" t="s">
        <v>46</v>
      </c>
    </row>
    <row r="830" spans="1:3" ht="13.5" thickBot="1" x14ac:dyDescent="0.25">
      <c r="A830" s="19">
        <v>62094</v>
      </c>
      <c r="B830" s="20" t="s">
        <v>48</v>
      </c>
      <c r="C830" s="21" t="s">
        <v>32</v>
      </c>
    </row>
    <row r="831" spans="1:3" ht="13.5" thickBot="1" x14ac:dyDescent="0.25">
      <c r="A831" s="22">
        <v>62134</v>
      </c>
      <c r="B831" s="23" t="s">
        <v>31</v>
      </c>
      <c r="C831" s="24" t="s">
        <v>33</v>
      </c>
    </row>
    <row r="832" spans="1:3" ht="13.5" thickBot="1" x14ac:dyDescent="0.25">
      <c r="A832" s="22">
        <v>62135</v>
      </c>
      <c r="B832" s="23" t="s">
        <v>34</v>
      </c>
      <c r="C832" s="24" t="s">
        <v>33</v>
      </c>
    </row>
    <row r="833" spans="1:3" ht="13.5" thickBot="1" x14ac:dyDescent="0.25">
      <c r="A833" s="22">
        <v>62180</v>
      </c>
      <c r="B833" s="23" t="s">
        <v>35</v>
      </c>
      <c r="C833" s="24" t="s">
        <v>36</v>
      </c>
    </row>
    <row r="834" spans="1:3" ht="13.5" thickBot="1" x14ac:dyDescent="0.25">
      <c r="A834" s="22">
        <v>62204</v>
      </c>
      <c r="B834" s="23" t="s">
        <v>31</v>
      </c>
      <c r="C834" s="24" t="s">
        <v>38</v>
      </c>
    </row>
    <row r="835" spans="1:3" ht="13.5" thickBot="1" x14ac:dyDescent="0.25">
      <c r="A835" s="22">
        <v>62214</v>
      </c>
      <c r="B835" s="23" t="s">
        <v>40</v>
      </c>
      <c r="C835" s="24" t="s">
        <v>39</v>
      </c>
    </row>
    <row r="836" spans="1:3" ht="13.5" thickBot="1" x14ac:dyDescent="0.25">
      <c r="A836" s="22">
        <v>62242</v>
      </c>
      <c r="B836" s="23" t="s">
        <v>40</v>
      </c>
      <c r="C836" s="24" t="s">
        <v>41</v>
      </c>
    </row>
    <row r="837" spans="1:3" ht="13.5" thickBot="1" x14ac:dyDescent="0.25">
      <c r="A837" s="22">
        <v>62343</v>
      </c>
      <c r="B837" s="23" t="s">
        <v>47</v>
      </c>
      <c r="C837" s="24" t="s">
        <v>42</v>
      </c>
    </row>
    <row r="838" spans="1:3" ht="14.25" thickBot="1" x14ac:dyDescent="0.25">
      <c r="A838" s="22">
        <v>62378</v>
      </c>
      <c r="B838" s="23" t="s">
        <v>47</v>
      </c>
      <c r="C838" s="24" t="s">
        <v>43</v>
      </c>
    </row>
    <row r="839" spans="1:3" ht="13.5" thickBot="1" x14ac:dyDescent="0.25">
      <c r="A839" s="22">
        <v>62399</v>
      </c>
      <c r="B839" s="23" t="s">
        <v>47</v>
      </c>
      <c r="C839" s="24" t="s">
        <v>44</v>
      </c>
    </row>
    <row r="840" spans="1:3" ht="13.5" thickBot="1" x14ac:dyDescent="0.25">
      <c r="A840" s="22">
        <v>62412</v>
      </c>
      <c r="B840" s="23" t="s">
        <v>37</v>
      </c>
      <c r="C840" s="24" t="s">
        <v>45</v>
      </c>
    </row>
    <row r="841" spans="1:3" ht="13.5" thickBot="1" x14ac:dyDescent="0.25">
      <c r="A841" s="22">
        <v>62452</v>
      </c>
      <c r="B841" s="23" t="s">
        <v>40</v>
      </c>
      <c r="C841" s="24" t="s">
        <v>46</v>
      </c>
    </row>
    <row r="842" spans="1:3" ht="13.5" thickBot="1" x14ac:dyDescent="0.25">
      <c r="A842" s="25">
        <v>62459</v>
      </c>
      <c r="B842" s="26" t="s">
        <v>40</v>
      </c>
      <c r="C842" s="27" t="s">
        <v>32</v>
      </c>
    </row>
    <row r="843" spans="1:3" ht="13.5" thickBot="1" x14ac:dyDescent="0.25">
      <c r="A843" s="16">
        <v>62519</v>
      </c>
      <c r="B843" s="17" t="s">
        <v>31</v>
      </c>
      <c r="C843" s="18" t="s">
        <v>33</v>
      </c>
    </row>
    <row r="844" spans="1:3" ht="13.5" thickBot="1" x14ac:dyDescent="0.25">
      <c r="A844" s="16">
        <v>62520</v>
      </c>
      <c r="B844" s="17" t="s">
        <v>34</v>
      </c>
      <c r="C844" s="18" t="s">
        <v>33</v>
      </c>
    </row>
    <row r="845" spans="1:3" ht="13.5" thickBot="1" x14ac:dyDescent="0.25">
      <c r="A845" s="16">
        <v>62565</v>
      </c>
      <c r="B845" s="17" t="s">
        <v>35</v>
      </c>
      <c r="C845" s="18" t="s">
        <v>36</v>
      </c>
    </row>
    <row r="846" spans="1:3" ht="13.5" thickBot="1" x14ac:dyDescent="0.25">
      <c r="A846" s="16">
        <v>62569</v>
      </c>
      <c r="B846" s="17" t="s">
        <v>34</v>
      </c>
      <c r="C846" s="18" t="s">
        <v>38</v>
      </c>
    </row>
    <row r="847" spans="1:3" ht="13.5" thickBot="1" x14ac:dyDescent="0.25">
      <c r="A847" s="16">
        <v>62579</v>
      </c>
      <c r="B847" s="17" t="s">
        <v>35</v>
      </c>
      <c r="C847" s="18" t="s">
        <v>39</v>
      </c>
    </row>
    <row r="848" spans="1:3" ht="13.5" thickBot="1" x14ac:dyDescent="0.25">
      <c r="A848" s="16">
        <v>62627</v>
      </c>
      <c r="B848" s="17" t="s">
        <v>40</v>
      </c>
      <c r="C848" s="18" t="s">
        <v>41</v>
      </c>
    </row>
    <row r="849" spans="1:3" ht="13.5" thickBot="1" x14ac:dyDescent="0.25">
      <c r="A849" s="16">
        <v>62708</v>
      </c>
      <c r="B849" s="17" t="s">
        <v>31</v>
      </c>
      <c r="C849" s="18" t="s">
        <v>42</v>
      </c>
    </row>
    <row r="850" spans="1:3" ht="14.25" thickBot="1" x14ac:dyDescent="0.25">
      <c r="A850" s="16">
        <v>62743</v>
      </c>
      <c r="B850" s="17" t="s">
        <v>31</v>
      </c>
      <c r="C850" s="18" t="s">
        <v>43</v>
      </c>
    </row>
    <row r="851" spans="1:3" ht="13.5" thickBot="1" x14ac:dyDescent="0.25">
      <c r="A851" s="16">
        <v>62764</v>
      </c>
      <c r="B851" s="17" t="s">
        <v>31</v>
      </c>
      <c r="C851" s="18" t="s">
        <v>44</v>
      </c>
    </row>
    <row r="852" spans="1:3" ht="13.5" thickBot="1" x14ac:dyDescent="0.25">
      <c r="A852" s="16">
        <v>62777</v>
      </c>
      <c r="B852" s="17" t="s">
        <v>47</v>
      </c>
      <c r="C852" s="18" t="s">
        <v>45</v>
      </c>
    </row>
    <row r="853" spans="1:3" ht="13.5" thickBot="1" x14ac:dyDescent="0.25">
      <c r="A853" s="16">
        <v>62817</v>
      </c>
      <c r="B853" s="17" t="s">
        <v>35</v>
      </c>
      <c r="C853" s="18" t="s">
        <v>46</v>
      </c>
    </row>
    <row r="854" spans="1:3" ht="13.5" thickBot="1" x14ac:dyDescent="0.25">
      <c r="A854" s="19">
        <v>62824</v>
      </c>
      <c r="B854" s="20" t="s">
        <v>35</v>
      </c>
      <c r="C854" s="21" t="s">
        <v>32</v>
      </c>
    </row>
    <row r="855" spans="1:3" ht="13.5" thickBot="1" x14ac:dyDescent="0.25">
      <c r="A855" s="22">
        <v>62876</v>
      </c>
      <c r="B855" s="23" t="s">
        <v>31</v>
      </c>
      <c r="C855" s="24" t="s">
        <v>33</v>
      </c>
    </row>
    <row r="856" spans="1:3" ht="13.5" thickBot="1" x14ac:dyDescent="0.25">
      <c r="A856" s="22">
        <v>62877</v>
      </c>
      <c r="B856" s="23" t="s">
        <v>34</v>
      </c>
      <c r="C856" s="24" t="s">
        <v>33</v>
      </c>
    </row>
    <row r="857" spans="1:3" ht="13.5" thickBot="1" x14ac:dyDescent="0.25">
      <c r="A857" s="22">
        <v>62922</v>
      </c>
      <c r="B857" s="23" t="s">
        <v>35</v>
      </c>
      <c r="C857" s="24" t="s">
        <v>36</v>
      </c>
    </row>
    <row r="858" spans="1:3" ht="13.5" thickBot="1" x14ac:dyDescent="0.25">
      <c r="A858" s="22">
        <v>62935</v>
      </c>
      <c r="B858" s="23" t="s">
        <v>40</v>
      </c>
      <c r="C858" s="24" t="s">
        <v>38</v>
      </c>
    </row>
    <row r="859" spans="1:3" ht="13.5" thickBot="1" x14ac:dyDescent="0.25">
      <c r="A859" s="22">
        <v>62945</v>
      </c>
      <c r="B859" s="23" t="s">
        <v>47</v>
      </c>
      <c r="C859" s="24" t="s">
        <v>39</v>
      </c>
    </row>
    <row r="860" spans="1:3" ht="13.5" thickBot="1" x14ac:dyDescent="0.25">
      <c r="A860" s="22">
        <v>62984</v>
      </c>
      <c r="B860" s="23" t="s">
        <v>40</v>
      </c>
      <c r="C860" s="24" t="s">
        <v>41</v>
      </c>
    </row>
    <row r="861" spans="1:3" ht="13.5" thickBot="1" x14ac:dyDescent="0.25">
      <c r="A861" s="22">
        <v>63074</v>
      </c>
      <c r="B861" s="23" t="s">
        <v>48</v>
      </c>
      <c r="C861" s="24" t="s">
        <v>42</v>
      </c>
    </row>
    <row r="862" spans="1:3" ht="14.25" thickBot="1" x14ac:dyDescent="0.25">
      <c r="A862" s="22">
        <v>63109</v>
      </c>
      <c r="B862" s="23" t="s">
        <v>48</v>
      </c>
      <c r="C862" s="24" t="s">
        <v>43</v>
      </c>
    </row>
    <row r="863" spans="1:3" ht="13.5" thickBot="1" x14ac:dyDescent="0.25">
      <c r="A863" s="22">
        <v>63130</v>
      </c>
      <c r="B863" s="23" t="s">
        <v>48</v>
      </c>
      <c r="C863" s="24" t="s">
        <v>44</v>
      </c>
    </row>
    <row r="864" spans="1:3" ht="13.5" thickBot="1" x14ac:dyDescent="0.25">
      <c r="A864" s="22">
        <v>63143</v>
      </c>
      <c r="B864" s="23" t="s">
        <v>34</v>
      </c>
      <c r="C864" s="24" t="s">
        <v>45</v>
      </c>
    </row>
    <row r="865" spans="1:3" ht="13.5" thickBot="1" x14ac:dyDescent="0.25">
      <c r="A865" s="22">
        <v>63183</v>
      </c>
      <c r="B865" s="23" t="s">
        <v>47</v>
      </c>
      <c r="C865" s="24" t="s">
        <v>46</v>
      </c>
    </row>
    <row r="866" spans="1:3" ht="13.5" thickBot="1" x14ac:dyDescent="0.25">
      <c r="A866" s="25">
        <v>63190</v>
      </c>
      <c r="B866" s="26" t="s">
        <v>47</v>
      </c>
      <c r="C866" s="27" t="s">
        <v>32</v>
      </c>
    </row>
    <row r="867" spans="1:3" ht="13.5" thickBot="1" x14ac:dyDescent="0.25">
      <c r="A867" s="16">
        <v>63226</v>
      </c>
      <c r="B867" s="17" t="s">
        <v>31</v>
      </c>
      <c r="C867" s="18" t="s">
        <v>33</v>
      </c>
    </row>
    <row r="868" spans="1:3" ht="13.5" thickBot="1" x14ac:dyDescent="0.25">
      <c r="A868" s="16">
        <v>63227</v>
      </c>
      <c r="B868" s="17" t="s">
        <v>34</v>
      </c>
      <c r="C868" s="18" t="s">
        <v>33</v>
      </c>
    </row>
    <row r="869" spans="1:3" ht="13.5" thickBot="1" x14ac:dyDescent="0.25">
      <c r="A869" s="16">
        <v>63272</v>
      </c>
      <c r="B869" s="17" t="s">
        <v>35</v>
      </c>
      <c r="C869" s="18" t="s">
        <v>36</v>
      </c>
    </row>
    <row r="870" spans="1:3" ht="13.5" thickBot="1" x14ac:dyDescent="0.25">
      <c r="A870" s="16">
        <v>63300</v>
      </c>
      <c r="B870" s="17" t="s">
        <v>35</v>
      </c>
      <c r="C870" s="18" t="s">
        <v>38</v>
      </c>
    </row>
    <row r="871" spans="1:3" ht="13.5" thickBot="1" x14ac:dyDescent="0.25">
      <c r="A871" s="16">
        <v>63310</v>
      </c>
      <c r="B871" s="17" t="s">
        <v>31</v>
      </c>
      <c r="C871" s="18" t="s">
        <v>39</v>
      </c>
    </row>
    <row r="872" spans="1:3" ht="13.5" thickBot="1" x14ac:dyDescent="0.25">
      <c r="A872" s="16">
        <v>63334</v>
      </c>
      <c r="B872" s="17" t="s">
        <v>40</v>
      </c>
      <c r="C872" s="18" t="s">
        <v>41</v>
      </c>
    </row>
    <row r="873" spans="1:3" ht="13.5" thickBot="1" x14ac:dyDescent="0.25">
      <c r="A873" s="16">
        <v>63439</v>
      </c>
      <c r="B873" s="17" t="s">
        <v>40</v>
      </c>
      <c r="C873" s="18" t="s">
        <v>42</v>
      </c>
    </row>
    <row r="874" spans="1:3" ht="14.25" thickBot="1" x14ac:dyDescent="0.25">
      <c r="A874" s="16">
        <v>63474</v>
      </c>
      <c r="B874" s="17" t="s">
        <v>40</v>
      </c>
      <c r="C874" s="18" t="s">
        <v>43</v>
      </c>
    </row>
    <row r="875" spans="1:3" ht="13.5" thickBot="1" x14ac:dyDescent="0.25">
      <c r="A875" s="16">
        <v>63495</v>
      </c>
      <c r="B875" s="17" t="s">
        <v>40</v>
      </c>
      <c r="C875" s="18" t="s">
        <v>44</v>
      </c>
    </row>
    <row r="876" spans="1:3" ht="13.5" thickBot="1" x14ac:dyDescent="0.25">
      <c r="A876" s="16">
        <v>63508</v>
      </c>
      <c r="B876" s="17" t="s">
        <v>48</v>
      </c>
      <c r="C876" s="18" t="s">
        <v>45</v>
      </c>
    </row>
    <row r="877" spans="1:3" ht="13.5" thickBot="1" x14ac:dyDescent="0.25">
      <c r="A877" s="16">
        <v>63548</v>
      </c>
      <c r="B877" s="17" t="s">
        <v>31</v>
      </c>
      <c r="C877" s="18" t="s">
        <v>46</v>
      </c>
    </row>
    <row r="878" spans="1:3" ht="13.5" thickBot="1" x14ac:dyDescent="0.25">
      <c r="A878" s="19">
        <v>63555</v>
      </c>
      <c r="B878" s="20" t="s">
        <v>31</v>
      </c>
      <c r="C878" s="21" t="s">
        <v>32</v>
      </c>
    </row>
    <row r="879" spans="1:3" ht="13.5" thickBot="1" x14ac:dyDescent="0.25">
      <c r="A879" s="22">
        <v>63611</v>
      </c>
      <c r="B879" s="23" t="s">
        <v>31</v>
      </c>
      <c r="C879" s="24" t="s">
        <v>33</v>
      </c>
    </row>
    <row r="880" spans="1:3" ht="13.5" thickBot="1" x14ac:dyDescent="0.25">
      <c r="A880" s="22">
        <v>63612</v>
      </c>
      <c r="B880" s="23" t="s">
        <v>34</v>
      </c>
      <c r="C880" s="24" t="s">
        <v>33</v>
      </c>
    </row>
    <row r="881" spans="1:3" ht="13.5" thickBot="1" x14ac:dyDescent="0.25">
      <c r="A881" s="22">
        <v>63657</v>
      </c>
      <c r="B881" s="23" t="s">
        <v>35</v>
      </c>
      <c r="C881" s="24" t="s">
        <v>36</v>
      </c>
    </row>
    <row r="882" spans="1:3" ht="13.5" thickBot="1" x14ac:dyDescent="0.25">
      <c r="A882" s="22">
        <v>63665</v>
      </c>
      <c r="B882" s="23" t="s">
        <v>37</v>
      </c>
      <c r="C882" s="24" t="s">
        <v>38</v>
      </c>
    </row>
    <row r="883" spans="1:3" ht="13.5" thickBot="1" x14ac:dyDescent="0.25">
      <c r="A883" s="22">
        <v>63675</v>
      </c>
      <c r="B883" s="23" t="s">
        <v>34</v>
      </c>
      <c r="C883" s="24" t="s">
        <v>39</v>
      </c>
    </row>
    <row r="884" spans="1:3" ht="13.5" thickBot="1" x14ac:dyDescent="0.25">
      <c r="A884" s="22">
        <v>63719</v>
      </c>
      <c r="B884" s="23" t="s">
        <v>40</v>
      </c>
      <c r="C884" s="24" t="s">
        <v>41</v>
      </c>
    </row>
    <row r="885" spans="1:3" ht="13.5" thickBot="1" x14ac:dyDescent="0.25">
      <c r="A885" s="22">
        <v>63804</v>
      </c>
      <c r="B885" s="23" t="s">
        <v>35</v>
      </c>
      <c r="C885" s="24" t="s">
        <v>42</v>
      </c>
    </row>
    <row r="886" spans="1:3" ht="14.25" thickBot="1" x14ac:dyDescent="0.25">
      <c r="A886" s="22">
        <v>63839</v>
      </c>
      <c r="B886" s="23" t="s">
        <v>35</v>
      </c>
      <c r="C886" s="24" t="s">
        <v>43</v>
      </c>
    </row>
    <row r="887" spans="1:3" ht="13.5" thickBot="1" x14ac:dyDescent="0.25">
      <c r="A887" s="22">
        <v>63860</v>
      </c>
      <c r="B887" s="23" t="s">
        <v>35</v>
      </c>
      <c r="C887" s="24" t="s">
        <v>44</v>
      </c>
    </row>
    <row r="888" spans="1:3" ht="13.5" thickBot="1" x14ac:dyDescent="0.25">
      <c r="A888" s="22">
        <v>63873</v>
      </c>
      <c r="B888" s="23" t="s">
        <v>40</v>
      </c>
      <c r="C888" s="24" t="s">
        <v>45</v>
      </c>
    </row>
    <row r="889" spans="1:3" ht="13.5" thickBot="1" x14ac:dyDescent="0.25">
      <c r="A889" s="22">
        <v>63913</v>
      </c>
      <c r="B889" s="23" t="s">
        <v>34</v>
      </c>
      <c r="C889" s="24" t="s">
        <v>46</v>
      </c>
    </row>
    <row r="890" spans="1:3" ht="13.5" thickBot="1" x14ac:dyDescent="0.25">
      <c r="A890" s="25">
        <v>63920</v>
      </c>
      <c r="B890" s="26" t="s">
        <v>34</v>
      </c>
      <c r="C890" s="27" t="s">
        <v>32</v>
      </c>
    </row>
    <row r="891" spans="1:3" ht="13.5" thickBot="1" x14ac:dyDescent="0.25">
      <c r="A891" s="16">
        <v>63968</v>
      </c>
      <c r="B891" s="17" t="s">
        <v>31</v>
      </c>
      <c r="C891" s="18" t="s">
        <v>33</v>
      </c>
    </row>
    <row r="892" spans="1:3" ht="13.5" thickBot="1" x14ac:dyDescent="0.25">
      <c r="A892" s="16">
        <v>63969</v>
      </c>
      <c r="B892" s="17" t="s">
        <v>34</v>
      </c>
      <c r="C892" s="18" t="s">
        <v>33</v>
      </c>
    </row>
    <row r="893" spans="1:3" ht="13.5" thickBot="1" x14ac:dyDescent="0.25">
      <c r="A893" s="16">
        <v>64014</v>
      </c>
      <c r="B893" s="17" t="s">
        <v>35</v>
      </c>
      <c r="C893" s="18" t="s">
        <v>36</v>
      </c>
    </row>
    <row r="894" spans="1:3" ht="13.5" thickBot="1" x14ac:dyDescent="0.25">
      <c r="A894" s="16">
        <v>64030</v>
      </c>
      <c r="B894" s="17" t="s">
        <v>47</v>
      </c>
      <c r="C894" s="18" t="s">
        <v>38</v>
      </c>
    </row>
    <row r="895" spans="1:3" ht="13.5" thickBot="1" x14ac:dyDescent="0.25">
      <c r="A895" s="16">
        <v>64040</v>
      </c>
      <c r="B895" s="17" t="s">
        <v>48</v>
      </c>
      <c r="C895" s="18" t="s">
        <v>39</v>
      </c>
    </row>
    <row r="896" spans="1:3" ht="13.5" thickBot="1" x14ac:dyDescent="0.25">
      <c r="A896" s="16">
        <v>64076</v>
      </c>
      <c r="B896" s="17" t="s">
        <v>40</v>
      </c>
      <c r="C896" s="18" t="s">
        <v>41</v>
      </c>
    </row>
    <row r="897" spans="1:3" ht="13.5" thickBot="1" x14ac:dyDescent="0.25">
      <c r="A897" s="16">
        <v>64169</v>
      </c>
      <c r="B897" s="17" t="s">
        <v>37</v>
      </c>
      <c r="C897" s="18" t="s">
        <v>42</v>
      </c>
    </row>
    <row r="898" spans="1:3" ht="14.25" thickBot="1" x14ac:dyDescent="0.25">
      <c r="A898" s="16">
        <v>64204</v>
      </c>
      <c r="B898" s="17" t="s">
        <v>37</v>
      </c>
      <c r="C898" s="18" t="s">
        <v>43</v>
      </c>
    </row>
    <row r="899" spans="1:3" ht="13.5" thickBot="1" x14ac:dyDescent="0.25">
      <c r="A899" s="16">
        <v>64225</v>
      </c>
      <c r="B899" s="17" t="s">
        <v>37</v>
      </c>
      <c r="C899" s="18" t="s">
        <v>44</v>
      </c>
    </row>
    <row r="900" spans="1:3" ht="13.5" thickBot="1" x14ac:dyDescent="0.25">
      <c r="A900" s="16">
        <v>64238</v>
      </c>
      <c r="B900" s="17" t="s">
        <v>35</v>
      </c>
      <c r="C900" s="18" t="s">
        <v>45</v>
      </c>
    </row>
    <row r="901" spans="1:3" ht="13.5" thickBot="1" x14ac:dyDescent="0.25">
      <c r="A901" s="16">
        <v>64278</v>
      </c>
      <c r="B901" s="17" t="s">
        <v>48</v>
      </c>
      <c r="C901" s="18" t="s">
        <v>46</v>
      </c>
    </row>
    <row r="902" spans="1:3" ht="13.5" thickBot="1" x14ac:dyDescent="0.25">
      <c r="A902" s="19">
        <v>64285</v>
      </c>
      <c r="B902" s="20" t="s">
        <v>48</v>
      </c>
      <c r="C902" s="21" t="s">
        <v>32</v>
      </c>
    </row>
    <row r="903" spans="1:3" ht="13.5" thickBot="1" x14ac:dyDescent="0.25">
      <c r="A903" s="22">
        <v>64346</v>
      </c>
      <c r="B903" s="23" t="s">
        <v>31</v>
      </c>
      <c r="C903" s="24" t="s">
        <v>33</v>
      </c>
    </row>
    <row r="904" spans="1:3" ht="13.5" thickBot="1" x14ac:dyDescent="0.25">
      <c r="A904" s="22">
        <v>64347</v>
      </c>
      <c r="B904" s="23" t="s">
        <v>34</v>
      </c>
      <c r="C904" s="24" t="s">
        <v>33</v>
      </c>
    </row>
    <row r="905" spans="1:3" ht="13.5" thickBot="1" x14ac:dyDescent="0.25">
      <c r="A905" s="22">
        <v>64392</v>
      </c>
      <c r="B905" s="23" t="s">
        <v>35</v>
      </c>
      <c r="C905" s="24" t="s">
        <v>36</v>
      </c>
    </row>
    <row r="906" spans="1:3" ht="13.5" thickBot="1" x14ac:dyDescent="0.25">
      <c r="A906" s="22">
        <v>64396</v>
      </c>
      <c r="B906" s="23" t="s">
        <v>34</v>
      </c>
      <c r="C906" s="24" t="s">
        <v>38</v>
      </c>
    </row>
    <row r="907" spans="1:3" ht="13.5" thickBot="1" x14ac:dyDescent="0.25">
      <c r="A907" s="22">
        <v>64406</v>
      </c>
      <c r="B907" s="23" t="s">
        <v>35</v>
      </c>
      <c r="C907" s="24" t="s">
        <v>39</v>
      </c>
    </row>
    <row r="908" spans="1:3" ht="13.5" thickBot="1" x14ac:dyDescent="0.25">
      <c r="A908" s="22">
        <v>64454</v>
      </c>
      <c r="B908" s="23" t="s">
        <v>40</v>
      </c>
      <c r="C908" s="24" t="s">
        <v>41</v>
      </c>
    </row>
    <row r="909" spans="1:3" ht="13.5" thickBot="1" x14ac:dyDescent="0.25">
      <c r="A909" s="22">
        <v>64535</v>
      </c>
      <c r="B909" s="23" t="s">
        <v>31</v>
      </c>
      <c r="C909" s="24" t="s">
        <v>42</v>
      </c>
    </row>
    <row r="910" spans="1:3" ht="14.25" thickBot="1" x14ac:dyDescent="0.25">
      <c r="A910" s="22">
        <v>64570</v>
      </c>
      <c r="B910" s="23" t="s">
        <v>31</v>
      </c>
      <c r="C910" s="24" t="s">
        <v>43</v>
      </c>
    </row>
    <row r="911" spans="1:3" ht="13.5" thickBot="1" x14ac:dyDescent="0.25">
      <c r="A911" s="22">
        <v>64591</v>
      </c>
      <c r="B911" s="23" t="s">
        <v>31</v>
      </c>
      <c r="C911" s="24" t="s">
        <v>44</v>
      </c>
    </row>
    <row r="912" spans="1:3" ht="13.5" thickBot="1" x14ac:dyDescent="0.25">
      <c r="A912" s="22">
        <v>64604</v>
      </c>
      <c r="B912" s="23" t="s">
        <v>47</v>
      </c>
      <c r="C912" s="24" t="s">
        <v>45</v>
      </c>
    </row>
    <row r="913" spans="1:3" ht="13.5" thickBot="1" x14ac:dyDescent="0.25">
      <c r="A913" s="22">
        <v>64644</v>
      </c>
      <c r="B913" s="23" t="s">
        <v>35</v>
      </c>
      <c r="C913" s="24" t="s">
        <v>46</v>
      </c>
    </row>
    <row r="914" spans="1:3" ht="13.5" thickBot="1" x14ac:dyDescent="0.25">
      <c r="A914" s="25">
        <v>64651</v>
      </c>
      <c r="B914" s="26" t="s">
        <v>35</v>
      </c>
      <c r="C914" s="27" t="s">
        <v>32</v>
      </c>
    </row>
    <row r="915" spans="1:3" ht="13.5" thickBot="1" x14ac:dyDescent="0.25">
      <c r="A915" s="16">
        <v>64703</v>
      </c>
      <c r="B915" s="17" t="s">
        <v>31</v>
      </c>
      <c r="C915" s="18" t="s">
        <v>33</v>
      </c>
    </row>
    <row r="916" spans="1:3" ht="13.5" thickBot="1" x14ac:dyDescent="0.25">
      <c r="A916" s="16">
        <v>64704</v>
      </c>
      <c r="B916" s="17" t="s">
        <v>34</v>
      </c>
      <c r="C916" s="18" t="s">
        <v>33</v>
      </c>
    </row>
    <row r="917" spans="1:3" ht="13.5" thickBot="1" x14ac:dyDescent="0.25">
      <c r="A917" s="16">
        <v>64749</v>
      </c>
      <c r="B917" s="17" t="s">
        <v>35</v>
      </c>
      <c r="C917" s="18" t="s">
        <v>36</v>
      </c>
    </row>
    <row r="918" spans="1:3" ht="13.5" thickBot="1" x14ac:dyDescent="0.25">
      <c r="A918" s="16">
        <v>64761</v>
      </c>
      <c r="B918" s="17" t="s">
        <v>48</v>
      </c>
      <c r="C918" s="18" t="s">
        <v>38</v>
      </c>
    </row>
    <row r="919" spans="1:3" ht="13.5" thickBot="1" x14ac:dyDescent="0.25">
      <c r="A919" s="16">
        <v>64771</v>
      </c>
      <c r="B919" s="17" t="s">
        <v>37</v>
      </c>
      <c r="C919" s="18" t="s">
        <v>39</v>
      </c>
    </row>
    <row r="920" spans="1:3" ht="13.5" thickBot="1" x14ac:dyDescent="0.25">
      <c r="A920" s="16">
        <v>64811</v>
      </c>
      <c r="B920" s="17" t="s">
        <v>40</v>
      </c>
      <c r="C920" s="18" t="s">
        <v>41</v>
      </c>
    </row>
    <row r="921" spans="1:3" ht="13.5" thickBot="1" x14ac:dyDescent="0.25">
      <c r="A921" s="16">
        <v>64900</v>
      </c>
      <c r="B921" s="17" t="s">
        <v>34</v>
      </c>
      <c r="C921" s="18" t="s">
        <v>42</v>
      </c>
    </row>
    <row r="922" spans="1:3" ht="14.25" thickBot="1" x14ac:dyDescent="0.25">
      <c r="A922" s="16">
        <v>64935</v>
      </c>
      <c r="B922" s="17" t="s">
        <v>34</v>
      </c>
      <c r="C922" s="18" t="s">
        <v>43</v>
      </c>
    </row>
    <row r="923" spans="1:3" ht="13.5" thickBot="1" x14ac:dyDescent="0.25">
      <c r="A923" s="16">
        <v>64956</v>
      </c>
      <c r="B923" s="17" t="s">
        <v>34</v>
      </c>
      <c r="C923" s="18" t="s">
        <v>44</v>
      </c>
    </row>
    <row r="924" spans="1:3" ht="13.5" thickBot="1" x14ac:dyDescent="0.25">
      <c r="A924" s="16">
        <v>64969</v>
      </c>
      <c r="B924" s="17" t="s">
        <v>31</v>
      </c>
      <c r="C924" s="18" t="s">
        <v>45</v>
      </c>
    </row>
    <row r="925" spans="1:3" ht="13.5" thickBot="1" x14ac:dyDescent="0.25">
      <c r="A925" s="16">
        <v>65009</v>
      </c>
      <c r="B925" s="17" t="s">
        <v>37</v>
      </c>
      <c r="C925" s="18" t="s">
        <v>46</v>
      </c>
    </row>
    <row r="926" spans="1:3" ht="13.5" thickBot="1" x14ac:dyDescent="0.25">
      <c r="A926" s="19">
        <v>65016</v>
      </c>
      <c r="B926" s="20" t="s">
        <v>34</v>
      </c>
      <c r="C926" s="21" t="s">
        <v>32</v>
      </c>
    </row>
    <row r="927" spans="1:3" ht="13.5" thickBot="1" x14ac:dyDescent="0.25">
      <c r="A927" s="22">
        <v>65060</v>
      </c>
      <c r="B927" s="23" t="s">
        <v>31</v>
      </c>
      <c r="C927" s="24" t="s">
        <v>33</v>
      </c>
    </row>
    <row r="928" spans="1:3" ht="13.5" thickBot="1" x14ac:dyDescent="0.25">
      <c r="A928" s="22">
        <v>65061</v>
      </c>
      <c r="B928" s="23" t="s">
        <v>34</v>
      </c>
      <c r="C928" s="24" t="s">
        <v>33</v>
      </c>
    </row>
    <row r="929" spans="1:3" ht="13.5" thickBot="1" x14ac:dyDescent="0.25">
      <c r="A929" s="22">
        <v>65106</v>
      </c>
      <c r="B929" s="23" t="s">
        <v>35</v>
      </c>
      <c r="C929" s="24" t="s">
        <v>36</v>
      </c>
    </row>
    <row r="930" spans="1:3" ht="13.5" thickBot="1" x14ac:dyDescent="0.25">
      <c r="A930" s="22">
        <v>65126</v>
      </c>
      <c r="B930" s="23" t="s">
        <v>40</v>
      </c>
      <c r="C930" s="24" t="s">
        <v>38</v>
      </c>
    </row>
    <row r="931" spans="1:3" ht="13.5" thickBot="1" x14ac:dyDescent="0.25">
      <c r="A931" s="22">
        <v>65136</v>
      </c>
      <c r="B931" s="23" t="s">
        <v>48</v>
      </c>
      <c r="C931" s="24" t="s">
        <v>39</v>
      </c>
    </row>
    <row r="932" spans="1:3" ht="13.5" thickBot="1" x14ac:dyDescent="0.25">
      <c r="A932" s="22">
        <v>65168</v>
      </c>
      <c r="B932" s="23" t="s">
        <v>40</v>
      </c>
      <c r="C932" s="24" t="s">
        <v>41</v>
      </c>
    </row>
    <row r="933" spans="1:3" ht="13.5" thickBot="1" x14ac:dyDescent="0.25">
      <c r="A933" s="22">
        <v>65265</v>
      </c>
      <c r="B933" s="23" t="s">
        <v>48</v>
      </c>
      <c r="C933" s="24" t="s">
        <v>42</v>
      </c>
    </row>
    <row r="934" spans="1:3" ht="14.25" thickBot="1" x14ac:dyDescent="0.25">
      <c r="A934" s="22">
        <v>65300</v>
      </c>
      <c r="B934" s="23" t="s">
        <v>48</v>
      </c>
      <c r="C934" s="24" t="s">
        <v>43</v>
      </c>
    </row>
    <row r="935" spans="1:3" ht="13.5" thickBot="1" x14ac:dyDescent="0.25">
      <c r="A935" s="22">
        <v>65321</v>
      </c>
      <c r="B935" s="23" t="s">
        <v>48</v>
      </c>
      <c r="C935" s="24" t="s">
        <v>44</v>
      </c>
    </row>
    <row r="936" spans="1:3" ht="13.5" thickBot="1" x14ac:dyDescent="0.25">
      <c r="A936" s="22">
        <v>65334</v>
      </c>
      <c r="B936" s="23" t="s">
        <v>34</v>
      </c>
      <c r="C936" s="24" t="s">
        <v>45</v>
      </c>
    </row>
    <row r="937" spans="1:3" ht="13.5" thickBot="1" x14ac:dyDescent="0.25">
      <c r="A937" s="22">
        <v>65374</v>
      </c>
      <c r="B937" s="23" t="s">
        <v>48</v>
      </c>
      <c r="C937" s="24" t="s">
        <v>46</v>
      </c>
    </row>
    <row r="938" spans="1:3" x14ac:dyDescent="0.2">
      <c r="A938" s="28" t="s">
        <v>49</v>
      </c>
    </row>
    <row r="940" spans="1:3" x14ac:dyDescent="0.2">
      <c r="A940" s="29" t="s">
        <v>50</v>
      </c>
    </row>
    <row r="942" spans="1:3" x14ac:dyDescent="0.2">
      <c r="A942" s="29" t="s">
        <v>51</v>
      </c>
    </row>
    <row r="944" spans="1:3" x14ac:dyDescent="0.2">
      <c r="A944" s="29" t="s">
        <v>52</v>
      </c>
    </row>
    <row r="946" spans="1:1" x14ac:dyDescent="0.2">
      <c r="A946" s="29" t="s">
        <v>53</v>
      </c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Exp Annual</vt:lpstr>
      <vt:lpstr>SGS vs FOCUS 2</vt:lpstr>
      <vt:lpstr>Holidays</vt:lpstr>
      <vt:lpstr>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Amaral</dc:creator>
  <cp:lastModifiedBy>Eduardo Amaral</cp:lastModifiedBy>
  <dcterms:created xsi:type="dcterms:W3CDTF">2023-10-20T02:13:46Z</dcterms:created>
  <dcterms:modified xsi:type="dcterms:W3CDTF">2023-12-26T20:51:31Z</dcterms:modified>
</cp:coreProperties>
</file>